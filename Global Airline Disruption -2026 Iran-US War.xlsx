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a9cb0cd9529a141d/Documents/Excel Files/"/>
    </mc:Choice>
  </mc:AlternateContent>
  <xr:revisionPtr revIDLastSave="21" documentId="8_{C3EAE5BD-F000-4770-AEB5-28F603EB1B91}" xr6:coauthVersionLast="47" xr6:coauthVersionMax="47" xr10:uidLastSave="{E4B984F7-4F14-4FF2-A7D1-AD93135B2F81}"/>
  <bookViews>
    <workbookView xWindow="-110" yWindow="-110" windowWidth="19420" windowHeight="10300" firstSheet="3" activeTab="6" xr2:uid="{8D6167F5-380E-4959-99B4-1BAF7EE1FB0F}"/>
  </bookViews>
  <sheets>
    <sheet name="DATA" sheetId="1" r:id="rId1"/>
    <sheet name="Daily_Loss" sheetId="2" r:id="rId2"/>
    <sheet name="Cancelled Flights" sheetId="4" r:id="rId3"/>
    <sheet name="Passengers impacted" sheetId="5" r:id="rId4"/>
    <sheet name="Countries by impact" sheetId="6" r:id="rId5"/>
    <sheet name="Fuel vs Rerouted" sheetId="7" r:id="rId6"/>
    <sheet name="Dashboard" sheetId="8" r:id="rId7"/>
  </sheets>
  <definedNames>
    <definedName name="Slicer_airline">#N/A</definedName>
    <definedName name="Slicer_count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15" i="1"/>
  <c r="I12" i="1"/>
  <c r="I9" i="1"/>
  <c r="I6" i="1"/>
</calcChain>
</file>

<file path=xl/sharedStrings.xml><?xml version="1.0" encoding="utf-8"?>
<sst xmlns="http://schemas.openxmlformats.org/spreadsheetml/2006/main" count="136" uniqueCount="84">
  <si>
    <t>airline</t>
  </si>
  <si>
    <t>country</t>
  </si>
  <si>
    <t>estimated_daily_loss_usd</t>
  </si>
  <si>
    <t>cancelled_flights</t>
  </si>
  <si>
    <t>rerouted_flights</t>
  </si>
  <si>
    <t>additional_fuel_cost_usd</t>
  </si>
  <si>
    <t>passengers_impacted</t>
  </si>
  <si>
    <t>Emirates</t>
  </si>
  <si>
    <t>UAE</t>
  </si>
  <si>
    <t>Qatar Airways</t>
  </si>
  <si>
    <t>Qatar</t>
  </si>
  <si>
    <t>Etihad Airways</t>
  </si>
  <si>
    <t>Turkish Airlines</t>
  </si>
  <si>
    <t>Turkey</t>
  </si>
  <si>
    <t>British Airways</t>
  </si>
  <si>
    <t>UK</t>
  </si>
  <si>
    <t>Lufthansa</t>
  </si>
  <si>
    <t>Germany</t>
  </si>
  <si>
    <t>Air France</t>
  </si>
  <si>
    <t>France</t>
  </si>
  <si>
    <t>KLM</t>
  </si>
  <si>
    <t>Netherlands</t>
  </si>
  <si>
    <t>Singapore Airlines</t>
  </si>
  <si>
    <t>Singapore</t>
  </si>
  <si>
    <t>Cathay Pacific</t>
  </si>
  <si>
    <t>Hong Kong</t>
  </si>
  <si>
    <t>Malaysia Airlines</t>
  </si>
  <si>
    <t>Malaysia</t>
  </si>
  <si>
    <t>Air India</t>
  </si>
  <si>
    <t>India</t>
  </si>
  <si>
    <t>PIA</t>
  </si>
  <si>
    <t>Pakistan</t>
  </si>
  <si>
    <t>Saudia</t>
  </si>
  <si>
    <t>Saudi Arabia</t>
  </si>
  <si>
    <t>Gulf Air</t>
  </si>
  <si>
    <t>Bahrain</t>
  </si>
  <si>
    <t>Oman Air</t>
  </si>
  <si>
    <t>Oman</t>
  </si>
  <si>
    <t>flydubai</t>
  </si>
  <si>
    <t>Korean Air</t>
  </si>
  <si>
    <t>South Korea</t>
  </si>
  <si>
    <t>Asiana Airlines</t>
  </si>
  <si>
    <t>Japan Airlines</t>
  </si>
  <si>
    <t>Japan</t>
  </si>
  <si>
    <t>ANA</t>
  </si>
  <si>
    <t>Thai Airways</t>
  </si>
  <si>
    <t>Thailand</t>
  </si>
  <si>
    <t>Aeroflot</t>
  </si>
  <si>
    <t>Russia</t>
  </si>
  <si>
    <t>El Al</t>
  </si>
  <si>
    <t>Israel</t>
  </si>
  <si>
    <t>Royal Jordanian</t>
  </si>
  <si>
    <t>Jordan</t>
  </si>
  <si>
    <t>EgyptAir</t>
  </si>
  <si>
    <t>Egypt</t>
  </si>
  <si>
    <t>Iberia</t>
  </si>
  <si>
    <t>Spain</t>
  </si>
  <si>
    <t>Austrian Airlines</t>
  </si>
  <si>
    <t>Austria</t>
  </si>
  <si>
    <t>Swiss International</t>
  </si>
  <si>
    <t>Switzerland</t>
  </si>
  <si>
    <t>SAS</t>
  </si>
  <si>
    <t>Scandinavia</t>
  </si>
  <si>
    <t>Finnair</t>
  </si>
  <si>
    <t>Finland</t>
  </si>
  <si>
    <t>LOT Polish Airlines</t>
  </si>
  <si>
    <t>Poland</t>
  </si>
  <si>
    <t>China Eastern</t>
  </si>
  <si>
    <t>China</t>
  </si>
  <si>
    <t>China Southern</t>
  </si>
  <si>
    <t>Air China</t>
  </si>
  <si>
    <t>Row Labels</t>
  </si>
  <si>
    <t>Grand Total</t>
  </si>
  <si>
    <t>Sum of estimated_daily_loss_usd</t>
  </si>
  <si>
    <t>Sum of cancelled_flights</t>
  </si>
  <si>
    <t>Sum of passengers_impacted</t>
  </si>
  <si>
    <t>Sum of additional_fuel_cost_usd</t>
  </si>
  <si>
    <t>Sum of rerouted_flights</t>
  </si>
  <si>
    <t>Global Airline Disruption Dashboard -2026 Iran-US War</t>
  </si>
  <si>
    <t>Total Daily loss</t>
  </si>
  <si>
    <t>Total Cancelled flights</t>
  </si>
  <si>
    <t>Total Passengers impacted</t>
  </si>
  <si>
    <t>Additional fuel cost</t>
  </si>
  <si>
    <t>Rerouted flights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</si>
</sst>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34" borderId="0" xfId="0" applyFill="1"/>
    <xf numFmtId="0" fontId="0" fillId="35" borderId="0" xfId="0" applyFill="1"/>
    <xf numFmtId="0" fontId="16" fillId="33" borderId="0" xfId="0" applyFont="1" applyFill="1"/>
    <xf numFmtId="0" fontId="18" fillId="35"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EA4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War.xlsx]Daily_Loss!PivotTable1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none">
                <a:solidFill>
                  <a:schemeClr val="tx1"/>
                </a:solidFill>
              </a:rPr>
              <a:t>Top</a:t>
            </a:r>
            <a:r>
              <a:rPr lang="en-US" sz="1600" b="1" u="none" baseline="0">
                <a:solidFill>
                  <a:schemeClr val="tx1"/>
                </a:solidFill>
              </a:rPr>
              <a:t> 5 Airlines by Estimated Daily Loss</a:t>
            </a:r>
          </a:p>
        </c:rich>
      </c:tx>
      <c:layout>
        <c:manualLayout>
          <c:xMode val="edge"/>
          <c:yMode val="edge"/>
          <c:x val="0.20704856787048567"/>
          <c:y val="2.9988069673109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75586628881856E-2"/>
          <c:y val="0.17711065837050086"/>
          <c:w val="0.88188414412724991"/>
          <c:h val="0.72595871462013184"/>
        </c:manualLayout>
      </c:layout>
      <c:barChart>
        <c:barDir val="col"/>
        <c:grouping val="clustered"/>
        <c:varyColors val="0"/>
        <c:ser>
          <c:idx val="0"/>
          <c:order val="0"/>
          <c:tx>
            <c:strRef>
              <c:f>Daily_Loss!$B$1</c:f>
              <c:strCache>
                <c:ptCount val="1"/>
                <c:pt idx="0">
                  <c:v>Total</c:v>
                </c:pt>
              </c:strCache>
            </c:strRef>
          </c:tx>
          <c:spPr>
            <a:solidFill>
              <a:srgbClr val="92D050"/>
            </a:solidFill>
            <a:ln>
              <a:noFill/>
            </a:ln>
            <a:effectLst/>
          </c:spPr>
          <c:invertIfNegative val="0"/>
          <c:dLbls>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Daily_Loss!$A$2:$A$7</c:f>
              <c:strCache>
                <c:ptCount val="5"/>
                <c:pt idx="0">
                  <c:v>Emirates</c:v>
                </c:pt>
                <c:pt idx="1">
                  <c:v>Qatar Airways</c:v>
                </c:pt>
                <c:pt idx="2">
                  <c:v>El Al</c:v>
                </c:pt>
                <c:pt idx="3">
                  <c:v>Turkish Airlines</c:v>
                </c:pt>
                <c:pt idx="4">
                  <c:v>Singapore Airlines</c:v>
                </c:pt>
              </c:strCache>
            </c:strRef>
          </c:cat>
          <c:val>
            <c:numRef>
              <c:f>Daily_Loss!$B$2:$B$7</c:f>
              <c:numCache>
                <c:formatCode>General</c:formatCode>
                <c:ptCount val="5"/>
                <c:pt idx="0">
                  <c:v>4200000</c:v>
                </c:pt>
                <c:pt idx="1">
                  <c:v>3100000</c:v>
                </c:pt>
                <c:pt idx="2">
                  <c:v>2800000</c:v>
                </c:pt>
                <c:pt idx="3">
                  <c:v>2400000</c:v>
                </c:pt>
                <c:pt idx="4">
                  <c:v>2100000</c:v>
                </c:pt>
              </c:numCache>
            </c:numRef>
          </c:val>
          <c:extLst>
            <c:ext xmlns:c16="http://schemas.microsoft.com/office/drawing/2014/chart" uri="{C3380CC4-5D6E-409C-BE32-E72D297353CC}">
              <c16:uniqueId val="{00000000-D44E-4F85-AD80-12EC5179798F}"/>
            </c:ext>
          </c:extLst>
        </c:ser>
        <c:dLbls>
          <c:dLblPos val="outEnd"/>
          <c:showLegendKey val="0"/>
          <c:showVal val="1"/>
          <c:showCatName val="0"/>
          <c:showSerName val="0"/>
          <c:showPercent val="0"/>
          <c:showBubbleSize val="0"/>
        </c:dLbls>
        <c:gapWidth val="219"/>
        <c:overlap val="-27"/>
        <c:axId val="568436304"/>
        <c:axId val="568435824"/>
      </c:barChart>
      <c:catAx>
        <c:axId val="56843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68435824"/>
        <c:crosses val="autoZero"/>
        <c:auto val="1"/>
        <c:lblAlgn val="ctr"/>
        <c:lblOffset val="100"/>
        <c:noMultiLvlLbl val="0"/>
      </c:catAx>
      <c:valAx>
        <c:axId val="568435824"/>
        <c:scaling>
          <c:orientation val="minMax"/>
        </c:scaling>
        <c:delete val="1"/>
        <c:axPos val="l"/>
        <c:numFmt formatCode="General" sourceLinked="1"/>
        <c:majorTickMark val="none"/>
        <c:minorTickMark val="none"/>
        <c:tickLblPos val="nextTo"/>
        <c:crossAx val="56843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War.xlsx]Cancelled Flights!PivotTable2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12 Flights cancelled by Airlines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EEA4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A4C4"/>
          </a:solidFill>
          <a:ln>
            <a:noFill/>
          </a:ln>
          <a:effectLst/>
        </c:spPr>
      </c:pivotFmt>
    </c:pivotFmts>
    <c:plotArea>
      <c:layout/>
      <c:barChart>
        <c:barDir val="bar"/>
        <c:grouping val="clustered"/>
        <c:varyColors val="1"/>
        <c:ser>
          <c:idx val="0"/>
          <c:order val="0"/>
          <c:tx>
            <c:strRef>
              <c:f>'Cancelled Flights'!$B$1</c:f>
              <c:strCache>
                <c:ptCount val="1"/>
                <c:pt idx="0">
                  <c:v>Total</c:v>
                </c:pt>
              </c:strCache>
            </c:strRef>
          </c:tx>
          <c:spPr>
            <a:solidFill>
              <a:srgbClr val="EEA4C4"/>
            </a:solidFill>
          </c:spPr>
          <c:invertIfNegative val="0"/>
          <c:dPt>
            <c:idx val="0"/>
            <c:invertIfNegative val="0"/>
            <c:bubble3D val="0"/>
            <c:spPr>
              <a:solidFill>
                <a:srgbClr val="EEA4C4"/>
              </a:solidFill>
              <a:ln>
                <a:noFill/>
              </a:ln>
              <a:effectLst/>
            </c:spPr>
            <c:extLst>
              <c:ext xmlns:c16="http://schemas.microsoft.com/office/drawing/2014/chart" uri="{C3380CC4-5D6E-409C-BE32-E72D297353CC}">
                <c16:uniqueId val="{00000001-F6C0-41F6-A2AB-384369733317}"/>
              </c:ext>
            </c:extLst>
          </c:dPt>
          <c:dPt>
            <c:idx val="1"/>
            <c:invertIfNegative val="0"/>
            <c:bubble3D val="0"/>
            <c:spPr>
              <a:solidFill>
                <a:srgbClr val="EEA4C4"/>
              </a:solidFill>
              <a:ln>
                <a:noFill/>
              </a:ln>
              <a:effectLst/>
            </c:spPr>
            <c:extLst>
              <c:ext xmlns:c16="http://schemas.microsoft.com/office/drawing/2014/chart" uri="{C3380CC4-5D6E-409C-BE32-E72D297353CC}">
                <c16:uniqueId val="{00000003-F6C0-41F6-A2AB-384369733317}"/>
              </c:ext>
            </c:extLst>
          </c:dPt>
          <c:dPt>
            <c:idx val="2"/>
            <c:invertIfNegative val="0"/>
            <c:bubble3D val="0"/>
            <c:spPr>
              <a:solidFill>
                <a:srgbClr val="EEA4C4"/>
              </a:solidFill>
              <a:ln>
                <a:noFill/>
              </a:ln>
              <a:effectLst/>
            </c:spPr>
            <c:extLst>
              <c:ext xmlns:c16="http://schemas.microsoft.com/office/drawing/2014/chart" uri="{C3380CC4-5D6E-409C-BE32-E72D297353CC}">
                <c16:uniqueId val="{00000005-F6C0-41F6-A2AB-384369733317}"/>
              </c:ext>
            </c:extLst>
          </c:dPt>
          <c:dPt>
            <c:idx val="3"/>
            <c:invertIfNegative val="0"/>
            <c:bubble3D val="0"/>
            <c:spPr>
              <a:solidFill>
                <a:srgbClr val="EEA4C4"/>
              </a:solidFill>
              <a:ln>
                <a:noFill/>
              </a:ln>
              <a:effectLst/>
            </c:spPr>
            <c:extLst>
              <c:ext xmlns:c16="http://schemas.microsoft.com/office/drawing/2014/chart" uri="{C3380CC4-5D6E-409C-BE32-E72D297353CC}">
                <c16:uniqueId val="{00000007-F6C0-41F6-A2AB-384369733317}"/>
              </c:ext>
            </c:extLst>
          </c:dPt>
          <c:dPt>
            <c:idx val="4"/>
            <c:invertIfNegative val="0"/>
            <c:bubble3D val="0"/>
            <c:spPr>
              <a:solidFill>
                <a:srgbClr val="EEA4C4"/>
              </a:solidFill>
              <a:ln>
                <a:noFill/>
              </a:ln>
              <a:effectLst/>
            </c:spPr>
            <c:extLst>
              <c:ext xmlns:c16="http://schemas.microsoft.com/office/drawing/2014/chart" uri="{C3380CC4-5D6E-409C-BE32-E72D297353CC}">
                <c16:uniqueId val="{00000009-F6C0-41F6-A2AB-384369733317}"/>
              </c:ext>
            </c:extLst>
          </c:dPt>
          <c:dPt>
            <c:idx val="5"/>
            <c:invertIfNegative val="0"/>
            <c:bubble3D val="0"/>
            <c:spPr>
              <a:solidFill>
                <a:srgbClr val="EEA4C4"/>
              </a:solidFill>
              <a:ln>
                <a:noFill/>
              </a:ln>
              <a:effectLst/>
            </c:spPr>
            <c:extLst>
              <c:ext xmlns:c16="http://schemas.microsoft.com/office/drawing/2014/chart" uri="{C3380CC4-5D6E-409C-BE32-E72D297353CC}">
                <c16:uniqueId val="{0000000B-F6C0-41F6-A2AB-384369733317}"/>
              </c:ext>
            </c:extLst>
          </c:dPt>
          <c:dPt>
            <c:idx val="6"/>
            <c:invertIfNegative val="0"/>
            <c:bubble3D val="0"/>
            <c:spPr>
              <a:solidFill>
                <a:srgbClr val="EEA4C4"/>
              </a:solidFill>
              <a:ln>
                <a:noFill/>
              </a:ln>
              <a:effectLst/>
            </c:spPr>
            <c:extLst>
              <c:ext xmlns:c16="http://schemas.microsoft.com/office/drawing/2014/chart" uri="{C3380CC4-5D6E-409C-BE32-E72D297353CC}">
                <c16:uniqueId val="{0000000D-F6C0-41F6-A2AB-384369733317}"/>
              </c:ext>
            </c:extLst>
          </c:dPt>
          <c:dPt>
            <c:idx val="7"/>
            <c:invertIfNegative val="0"/>
            <c:bubble3D val="0"/>
            <c:spPr>
              <a:solidFill>
                <a:srgbClr val="EEA4C4"/>
              </a:solidFill>
              <a:ln>
                <a:noFill/>
              </a:ln>
              <a:effectLst/>
            </c:spPr>
            <c:extLst>
              <c:ext xmlns:c16="http://schemas.microsoft.com/office/drawing/2014/chart" uri="{C3380CC4-5D6E-409C-BE32-E72D297353CC}">
                <c16:uniqueId val="{0000000F-F6C0-41F6-A2AB-384369733317}"/>
              </c:ext>
            </c:extLst>
          </c:dPt>
          <c:dPt>
            <c:idx val="8"/>
            <c:invertIfNegative val="0"/>
            <c:bubble3D val="0"/>
            <c:spPr>
              <a:solidFill>
                <a:srgbClr val="EEA4C4"/>
              </a:solidFill>
              <a:ln>
                <a:noFill/>
              </a:ln>
              <a:effectLst/>
            </c:spPr>
            <c:extLst>
              <c:ext xmlns:c16="http://schemas.microsoft.com/office/drawing/2014/chart" uri="{C3380CC4-5D6E-409C-BE32-E72D297353CC}">
                <c16:uniqueId val="{00000011-F6C0-41F6-A2AB-384369733317}"/>
              </c:ext>
            </c:extLst>
          </c:dPt>
          <c:dPt>
            <c:idx val="9"/>
            <c:invertIfNegative val="0"/>
            <c:bubble3D val="0"/>
            <c:spPr>
              <a:solidFill>
                <a:srgbClr val="EEA4C4"/>
              </a:solidFill>
              <a:ln>
                <a:noFill/>
              </a:ln>
              <a:effectLst/>
            </c:spPr>
            <c:extLst>
              <c:ext xmlns:c16="http://schemas.microsoft.com/office/drawing/2014/chart" uri="{C3380CC4-5D6E-409C-BE32-E72D297353CC}">
                <c16:uniqueId val="{00000013-F6C0-41F6-A2AB-384369733317}"/>
              </c:ext>
            </c:extLst>
          </c:dPt>
          <c:dPt>
            <c:idx val="10"/>
            <c:invertIfNegative val="0"/>
            <c:bubble3D val="0"/>
            <c:spPr>
              <a:solidFill>
                <a:srgbClr val="EEA4C4"/>
              </a:solidFill>
              <a:ln>
                <a:noFill/>
              </a:ln>
              <a:effectLst/>
            </c:spPr>
            <c:extLst>
              <c:ext xmlns:c16="http://schemas.microsoft.com/office/drawing/2014/chart" uri="{C3380CC4-5D6E-409C-BE32-E72D297353CC}">
                <c16:uniqueId val="{00000015-F6C0-41F6-A2AB-384369733317}"/>
              </c:ext>
            </c:extLst>
          </c:dPt>
          <c:dPt>
            <c:idx val="11"/>
            <c:invertIfNegative val="0"/>
            <c:bubble3D val="0"/>
            <c:spPr>
              <a:solidFill>
                <a:srgbClr val="EEA4C4"/>
              </a:solidFill>
              <a:ln>
                <a:noFill/>
              </a:ln>
              <a:effectLst/>
            </c:spPr>
            <c:extLst>
              <c:ext xmlns:c16="http://schemas.microsoft.com/office/drawing/2014/chart" uri="{C3380CC4-5D6E-409C-BE32-E72D297353CC}">
                <c16:uniqueId val="{00000017-F6C0-41F6-A2AB-384369733317}"/>
              </c:ext>
            </c:extLst>
          </c:dPt>
          <c:cat>
            <c:strRef>
              <c:f>'Cancelled Flights'!$A$2:$A$14</c:f>
              <c:strCache>
                <c:ptCount val="12"/>
                <c:pt idx="0">
                  <c:v>Cathay Pacific</c:v>
                </c:pt>
                <c:pt idx="1">
                  <c:v>Aeroflot</c:v>
                </c:pt>
                <c:pt idx="2">
                  <c:v>British Airways</c:v>
                </c:pt>
                <c:pt idx="3">
                  <c:v>PIA</c:v>
                </c:pt>
                <c:pt idx="4">
                  <c:v>flydubai</c:v>
                </c:pt>
                <c:pt idx="5">
                  <c:v>Singapore Airlines</c:v>
                </c:pt>
                <c:pt idx="6">
                  <c:v>Etihad Airways</c:v>
                </c:pt>
                <c:pt idx="7">
                  <c:v>Saudia</c:v>
                </c:pt>
                <c:pt idx="8">
                  <c:v>El Al</c:v>
                </c:pt>
                <c:pt idx="9">
                  <c:v>Qatar Airways</c:v>
                </c:pt>
                <c:pt idx="10">
                  <c:v>Turkish Airlines</c:v>
                </c:pt>
                <c:pt idx="11">
                  <c:v>Emirates</c:v>
                </c:pt>
              </c:strCache>
            </c:strRef>
          </c:cat>
          <c:val>
            <c:numRef>
              <c:f>'Cancelled Flights'!$B$2:$B$14</c:f>
              <c:numCache>
                <c:formatCode>General</c:formatCode>
                <c:ptCount val="12"/>
                <c:pt idx="0">
                  <c:v>6</c:v>
                </c:pt>
                <c:pt idx="1">
                  <c:v>6</c:v>
                </c:pt>
                <c:pt idx="2">
                  <c:v>6</c:v>
                </c:pt>
                <c:pt idx="3">
                  <c:v>6</c:v>
                </c:pt>
                <c:pt idx="4">
                  <c:v>7</c:v>
                </c:pt>
                <c:pt idx="5">
                  <c:v>7</c:v>
                </c:pt>
                <c:pt idx="6">
                  <c:v>8</c:v>
                </c:pt>
                <c:pt idx="7">
                  <c:v>9</c:v>
                </c:pt>
                <c:pt idx="8">
                  <c:v>12</c:v>
                </c:pt>
                <c:pt idx="9">
                  <c:v>12</c:v>
                </c:pt>
                <c:pt idx="10">
                  <c:v>14</c:v>
                </c:pt>
                <c:pt idx="11">
                  <c:v>18</c:v>
                </c:pt>
              </c:numCache>
            </c:numRef>
          </c:val>
          <c:extLst>
            <c:ext xmlns:c16="http://schemas.microsoft.com/office/drawing/2014/chart" uri="{C3380CC4-5D6E-409C-BE32-E72D297353CC}">
              <c16:uniqueId val="{00000000-D9FC-48A6-8210-8A556720B9F3}"/>
            </c:ext>
          </c:extLst>
        </c:ser>
        <c:dLbls>
          <c:showLegendKey val="0"/>
          <c:showVal val="0"/>
          <c:showCatName val="0"/>
          <c:showSerName val="0"/>
          <c:showPercent val="0"/>
          <c:showBubbleSize val="0"/>
        </c:dLbls>
        <c:gapWidth val="114"/>
        <c:overlap val="60"/>
        <c:axId val="1151556032"/>
        <c:axId val="1151559872"/>
      </c:barChart>
      <c:catAx>
        <c:axId val="115155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559872"/>
        <c:crosses val="autoZero"/>
        <c:auto val="1"/>
        <c:lblAlgn val="ctr"/>
        <c:lblOffset val="100"/>
        <c:noMultiLvlLbl val="0"/>
      </c:catAx>
      <c:valAx>
        <c:axId val="1151559872"/>
        <c:scaling>
          <c:orientation val="minMax"/>
        </c:scaling>
        <c:delete val="1"/>
        <c:axPos val="b"/>
        <c:numFmt formatCode="General" sourceLinked="1"/>
        <c:majorTickMark val="none"/>
        <c:minorTickMark val="none"/>
        <c:tickLblPos val="nextTo"/>
        <c:crossAx val="115155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War.xlsx]Passengers impacted!PivotTable3</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 5</a:t>
            </a:r>
            <a:r>
              <a:rPr lang="en-IN" b="1" baseline="0">
                <a:solidFill>
                  <a:schemeClr val="tx1"/>
                </a:solidFill>
              </a:rPr>
              <a:t> Airlines by Passengers Impacted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triangle"/>
          <c:size val="9"/>
          <c:spPr>
            <a:solidFill>
              <a:srgbClr val="FF0000"/>
            </a:solidFill>
            <a:ln w="19050">
              <a:solidFill>
                <a:srgbClr val="0070C0"/>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46303501945526E-2"/>
          <c:y val="0.20596491228070177"/>
          <c:w val="0.95719844357976658"/>
          <c:h val="0.6200339431255304"/>
        </c:manualLayout>
      </c:layout>
      <c:lineChart>
        <c:grouping val="standard"/>
        <c:varyColors val="0"/>
        <c:ser>
          <c:idx val="0"/>
          <c:order val="0"/>
          <c:tx>
            <c:strRef>
              <c:f>'Passengers impacted'!$B$1</c:f>
              <c:strCache>
                <c:ptCount val="1"/>
                <c:pt idx="0">
                  <c:v>Total</c:v>
                </c:pt>
              </c:strCache>
            </c:strRef>
          </c:tx>
          <c:spPr>
            <a:ln w="28575" cap="rnd">
              <a:solidFill>
                <a:schemeClr val="accent1"/>
              </a:solidFill>
              <a:round/>
            </a:ln>
            <a:effectLst/>
          </c:spPr>
          <c:marker>
            <c:symbol val="triangle"/>
            <c:size val="9"/>
            <c:spPr>
              <a:solidFill>
                <a:srgbClr val="FF0000"/>
              </a:solidFill>
              <a:ln w="19050">
                <a:solidFill>
                  <a:srgbClr val="0070C0"/>
                </a:solidFill>
              </a:ln>
              <a:effectLst/>
            </c:spPr>
          </c:marker>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'Passengers impacted'!$A$2:$A$7</c:f>
              <c:strCache>
                <c:ptCount val="5"/>
                <c:pt idx="0">
                  <c:v>British Airways</c:v>
                </c:pt>
                <c:pt idx="1">
                  <c:v>Emirates</c:v>
                </c:pt>
                <c:pt idx="2">
                  <c:v>Qatar Airways</c:v>
                </c:pt>
                <c:pt idx="3">
                  <c:v>Singapore Airlines</c:v>
                </c:pt>
                <c:pt idx="4">
                  <c:v>Turkish Airlines</c:v>
                </c:pt>
              </c:strCache>
            </c:strRef>
          </c:cat>
          <c:val>
            <c:numRef>
              <c:f>'Passengers impacted'!$B$2:$B$7</c:f>
              <c:numCache>
                <c:formatCode>General</c:formatCode>
                <c:ptCount val="5"/>
                <c:pt idx="0">
                  <c:v>4680</c:v>
                </c:pt>
                <c:pt idx="1">
                  <c:v>9180</c:v>
                </c:pt>
                <c:pt idx="2">
                  <c:v>6540</c:v>
                </c:pt>
                <c:pt idx="3">
                  <c:v>5110</c:v>
                </c:pt>
                <c:pt idx="4">
                  <c:v>7700</c:v>
                </c:pt>
              </c:numCache>
            </c:numRef>
          </c:val>
          <c:smooth val="0"/>
          <c:extLst>
            <c:ext xmlns:c16="http://schemas.microsoft.com/office/drawing/2014/chart" uri="{C3380CC4-5D6E-409C-BE32-E72D297353CC}">
              <c16:uniqueId val="{00000000-BC44-4C25-8B2E-4550B158DE3F}"/>
            </c:ext>
          </c:extLst>
        </c:ser>
        <c:dLbls>
          <c:dLblPos val="t"/>
          <c:showLegendKey val="0"/>
          <c:showVal val="1"/>
          <c:showCatName val="0"/>
          <c:showSerName val="0"/>
          <c:showPercent val="0"/>
          <c:showBubbleSize val="0"/>
        </c:dLbls>
        <c:marker val="1"/>
        <c:smooth val="0"/>
        <c:axId val="564380032"/>
        <c:axId val="1283149040"/>
      </c:lineChart>
      <c:catAx>
        <c:axId val="56438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83149040"/>
        <c:crosses val="autoZero"/>
        <c:auto val="1"/>
        <c:lblAlgn val="ctr"/>
        <c:lblOffset val="100"/>
        <c:noMultiLvlLbl val="0"/>
      </c:catAx>
      <c:valAx>
        <c:axId val="1283149040"/>
        <c:scaling>
          <c:orientation val="minMax"/>
        </c:scaling>
        <c:delete val="1"/>
        <c:axPos val="l"/>
        <c:numFmt formatCode="General" sourceLinked="1"/>
        <c:majorTickMark val="none"/>
        <c:minorTickMark val="none"/>
        <c:tickLblPos val="nextTo"/>
        <c:crossAx val="5643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War.xlsx]Countries by impact!PivotTable4</c:name>
    <c:fmtId val="1"/>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a:t>
            </a:r>
            <a:r>
              <a:rPr lang="en-US" sz="1800" b="1" baseline="0">
                <a:solidFill>
                  <a:schemeClr val="tx1"/>
                </a:solidFill>
              </a:rPr>
              <a:t> 5 countries by Passengers Impacted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s>
    <c:plotArea>
      <c:layout>
        <c:manualLayout>
          <c:layoutTarget val="inner"/>
          <c:xMode val="edge"/>
          <c:yMode val="edge"/>
          <c:x val="0.30564489847690973"/>
          <c:y val="0.14974993921484281"/>
          <c:w val="0.37330271216097982"/>
          <c:h val="0.6989497589397069"/>
        </c:manualLayout>
      </c:layout>
      <c:pieChart>
        <c:varyColors val="1"/>
        <c:ser>
          <c:idx val="0"/>
          <c:order val="0"/>
          <c:tx>
            <c:strRef>
              <c:f>'Countries by impact'!$B$1</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B5-49DD-8442-7A00007669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B5-49DD-8442-7A00007669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B5-49DD-8442-7A00007669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B5-49DD-8442-7A00007669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B5-49DD-8442-7A00007669C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'Countries by impact'!$A$2:$A$7</c:f>
              <c:strCache>
                <c:ptCount val="5"/>
                <c:pt idx="0">
                  <c:v>China</c:v>
                </c:pt>
                <c:pt idx="1">
                  <c:v>Japan</c:v>
                </c:pt>
                <c:pt idx="2">
                  <c:v>Qatar</c:v>
                </c:pt>
                <c:pt idx="3">
                  <c:v>Turkey</c:v>
                </c:pt>
                <c:pt idx="4">
                  <c:v>UAE</c:v>
                </c:pt>
              </c:strCache>
            </c:strRef>
          </c:cat>
          <c:val>
            <c:numRef>
              <c:f>'Countries by impact'!$B$2:$B$7</c:f>
              <c:numCache>
                <c:formatCode>General</c:formatCode>
                <c:ptCount val="5"/>
                <c:pt idx="0">
                  <c:v>11400</c:v>
                </c:pt>
                <c:pt idx="1">
                  <c:v>6440</c:v>
                </c:pt>
                <c:pt idx="2">
                  <c:v>6540</c:v>
                </c:pt>
                <c:pt idx="3">
                  <c:v>7700</c:v>
                </c:pt>
                <c:pt idx="4">
                  <c:v>16300</c:v>
                </c:pt>
              </c:numCache>
            </c:numRef>
          </c:val>
          <c:extLst>
            <c:ext xmlns:c16="http://schemas.microsoft.com/office/drawing/2014/chart" uri="{C3380CC4-5D6E-409C-BE32-E72D297353CC}">
              <c16:uniqueId val="{00000000-5BE8-4574-8880-14AE9D70BE93}"/>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0.16920444603515467"/>
          <c:y val="0.8803990990487891"/>
          <c:w val="0.60856080489938758"/>
          <c:h val="9.12321066249697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War.xlsx]Fuel vs Rerouted!PivotTable5</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Additional</a:t>
            </a:r>
            <a:r>
              <a:rPr lang="en-IN" b="1" baseline="0">
                <a:solidFill>
                  <a:schemeClr val="tx1"/>
                </a:solidFill>
              </a:rPr>
              <a:t> Fuel Cost vs Rerouted Flights by Airline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7"/>
          <c:spPr>
            <a:solidFill>
              <a:schemeClr val="accent4">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0"/>
              <c:y val="-8.247422680412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0"/>
              <c:y val="-9.2783505154639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1.5184381778741865E-2"/>
              <c:y val="-6.1855670103092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1.735357917570499E-2"/>
              <c:y val="-5.154639175257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2.8199566160520606E-2"/>
              <c:y val="-6.1855670103092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1.5184381778741865E-2"/>
              <c:y val="-8.7628865979381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3.0368763557483729E-2"/>
              <c:y val="-6.7010309278350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4.3383947939262472E-2"/>
              <c:y val="-8.247422680412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Lbl>
          <c:idx val="0"/>
          <c:layout>
            <c:manualLayout>
              <c:x val="-3.0368763557483729E-2"/>
              <c:y val="-0.10309278350515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0368763557483729E-2"/>
              <c:y val="-0.10309278350515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'Fuel vs Rerouted'!$B$3</c:f>
              <c:strCache>
                <c:ptCount val="1"/>
                <c:pt idx="0">
                  <c:v>Sum of additional_fuel_cost_usd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 vs Rerouted'!$A$4:$A$14</c:f>
              <c:strCache>
                <c:ptCount val="10"/>
                <c:pt idx="0">
                  <c:v>Emirates</c:v>
                </c:pt>
                <c:pt idx="1">
                  <c:v>Qatar Airways</c:v>
                </c:pt>
                <c:pt idx="2">
                  <c:v>Turkish Airlines</c:v>
                </c:pt>
                <c:pt idx="3">
                  <c:v>Singapore Airlines</c:v>
                </c:pt>
                <c:pt idx="4">
                  <c:v>British Airways</c:v>
                </c:pt>
                <c:pt idx="5">
                  <c:v>Cathay Pacific</c:v>
                </c:pt>
                <c:pt idx="6">
                  <c:v>Etihad Airways</c:v>
                </c:pt>
                <c:pt idx="7">
                  <c:v>Air China</c:v>
                </c:pt>
                <c:pt idx="8">
                  <c:v>Lufthansa</c:v>
                </c:pt>
                <c:pt idx="9">
                  <c:v>China Eastern</c:v>
                </c:pt>
              </c:strCache>
            </c:strRef>
          </c:cat>
          <c:val>
            <c:numRef>
              <c:f>'Fuel vs Rerouted'!$B$4:$B$14</c:f>
              <c:numCache>
                <c:formatCode>General</c:formatCode>
                <c:ptCount val="10"/>
                <c:pt idx="0">
                  <c:v>2835200</c:v>
                </c:pt>
                <c:pt idx="1">
                  <c:v>1765800</c:v>
                </c:pt>
                <c:pt idx="2">
                  <c:v>1432600</c:v>
                </c:pt>
                <c:pt idx="3">
                  <c:v>1274000</c:v>
                </c:pt>
                <c:pt idx="4">
                  <c:v>1185600</c:v>
                </c:pt>
                <c:pt idx="5">
                  <c:v>1120600</c:v>
                </c:pt>
                <c:pt idx="6">
                  <c:v>1023400</c:v>
                </c:pt>
                <c:pt idx="7">
                  <c:v>980000</c:v>
                </c:pt>
                <c:pt idx="8">
                  <c:v>988000</c:v>
                </c:pt>
                <c:pt idx="9">
                  <c:v>952000</c:v>
                </c:pt>
              </c:numCache>
            </c:numRef>
          </c:val>
          <c:extLst>
            <c:ext xmlns:c16="http://schemas.microsoft.com/office/drawing/2014/chart" uri="{C3380CC4-5D6E-409C-BE32-E72D297353CC}">
              <c16:uniqueId val="{00000000-AB2E-4DEB-8408-9F2F41B03C7F}"/>
            </c:ext>
          </c:extLst>
        </c:ser>
        <c:dLbls>
          <c:dLblPos val="inBase"/>
          <c:showLegendKey val="0"/>
          <c:showVal val="1"/>
          <c:showCatName val="0"/>
          <c:showSerName val="0"/>
          <c:showPercent val="0"/>
          <c:showBubbleSize val="0"/>
        </c:dLbls>
        <c:gapWidth val="219"/>
        <c:axId val="1042962048"/>
        <c:axId val="1042970688"/>
      </c:barChart>
      <c:lineChart>
        <c:grouping val="standard"/>
        <c:varyColors val="0"/>
        <c:ser>
          <c:idx val="1"/>
          <c:order val="1"/>
          <c:tx>
            <c:strRef>
              <c:f>'Fuel vs Rerouted'!$C$3</c:f>
              <c:strCache>
                <c:ptCount val="1"/>
                <c:pt idx="0">
                  <c:v>Sum of rerouted_flights</c:v>
                </c:pt>
              </c:strCache>
            </c:strRef>
          </c:tx>
          <c:spPr>
            <a:ln w="28575" cap="rnd">
              <a:solidFill>
                <a:schemeClr val="accent2"/>
              </a:solidFill>
              <a:round/>
            </a:ln>
            <a:effectLst/>
          </c:spPr>
          <c:marker>
            <c:symbol val="circle"/>
            <c:size val="7"/>
            <c:spPr>
              <a:solidFill>
                <a:schemeClr val="accent4">
                  <a:lumMod val="60000"/>
                  <a:lumOff val="40000"/>
                </a:schemeClr>
              </a:solidFill>
              <a:ln w="9525">
                <a:solidFill>
                  <a:schemeClr val="accent2"/>
                </a:solidFill>
              </a:ln>
              <a:effectLst/>
            </c:spPr>
          </c:marker>
          <c:dPt>
            <c:idx val="0"/>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B-AB2E-4DEB-8408-9F2F41B03C7F}"/>
              </c:ext>
            </c:extLst>
          </c:dPt>
          <c:dPt>
            <c:idx val="1"/>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AB2E-4DEB-8408-9F2F41B03C7F}"/>
              </c:ext>
            </c:extLst>
          </c:dPt>
          <c:dPt>
            <c:idx val="2"/>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AB2E-4DEB-8408-9F2F41B03C7F}"/>
              </c:ext>
            </c:extLst>
          </c:dPt>
          <c:dPt>
            <c:idx val="3"/>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AB2E-4DEB-8408-9F2F41B03C7F}"/>
              </c:ext>
            </c:extLst>
          </c:dPt>
          <c:dPt>
            <c:idx val="4"/>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AB2E-4DEB-8408-9F2F41B03C7F}"/>
              </c:ext>
            </c:extLst>
          </c:dPt>
          <c:dPt>
            <c:idx val="5"/>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AB2E-4DEB-8408-9F2F41B03C7F}"/>
              </c:ext>
            </c:extLst>
          </c:dPt>
          <c:dPt>
            <c:idx val="6"/>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8-AB2E-4DEB-8408-9F2F41B03C7F}"/>
              </c:ext>
            </c:extLst>
          </c:dPt>
          <c:dPt>
            <c:idx val="7"/>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9-AB2E-4DEB-8408-9F2F41B03C7F}"/>
              </c:ext>
            </c:extLst>
          </c:dPt>
          <c:dPt>
            <c:idx val="8"/>
            <c:marker>
              <c:symbol val="circle"/>
              <c:size val="7"/>
              <c:spPr>
                <a:solidFill>
                  <a:schemeClr val="accent4">
                    <a:lumMod val="60000"/>
                    <a:lumOff val="40000"/>
                  </a:schemeClr>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A-AB2E-4DEB-8408-9F2F41B03C7F}"/>
              </c:ext>
            </c:extLst>
          </c:dPt>
          <c:dLbls>
            <c:dLbl>
              <c:idx val="0"/>
              <c:layout>
                <c:manualLayout>
                  <c:x val="-3.0368763557483729E-2"/>
                  <c:y val="-0.10309278350515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B2E-4DEB-8408-9F2F41B03C7F}"/>
                </c:ext>
              </c:extLst>
            </c:dLbl>
            <c:dLbl>
              <c:idx val="1"/>
              <c:layout>
                <c:manualLayout>
                  <c:x val="0"/>
                  <c:y val="-8.2474226804123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2E-4DEB-8408-9F2F41B03C7F}"/>
                </c:ext>
              </c:extLst>
            </c:dLbl>
            <c:dLbl>
              <c:idx val="2"/>
              <c:layout>
                <c:manualLayout>
                  <c:x val="0"/>
                  <c:y val="-9.2783505154639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2E-4DEB-8408-9F2F41B03C7F}"/>
                </c:ext>
              </c:extLst>
            </c:dLbl>
            <c:dLbl>
              <c:idx val="3"/>
              <c:layout>
                <c:manualLayout>
                  <c:x val="-1.5184381778741865E-2"/>
                  <c:y val="-6.18556701030928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2E-4DEB-8408-9F2F41B03C7F}"/>
                </c:ext>
              </c:extLst>
            </c:dLbl>
            <c:dLbl>
              <c:idx val="4"/>
              <c:layout>
                <c:manualLayout>
                  <c:x val="-1.735357917570499E-2"/>
                  <c:y val="-5.15463917525773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2E-4DEB-8408-9F2F41B03C7F}"/>
                </c:ext>
              </c:extLst>
            </c:dLbl>
            <c:dLbl>
              <c:idx val="5"/>
              <c:layout>
                <c:manualLayout>
                  <c:x val="-2.8199566160520606E-2"/>
                  <c:y val="-6.1855670103092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2E-4DEB-8408-9F2F41B03C7F}"/>
                </c:ext>
              </c:extLst>
            </c:dLbl>
            <c:dLbl>
              <c:idx val="6"/>
              <c:layout>
                <c:manualLayout>
                  <c:x val="-1.5184381778741865E-2"/>
                  <c:y val="-8.7628865979381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2E-4DEB-8408-9F2F41B03C7F}"/>
                </c:ext>
              </c:extLst>
            </c:dLbl>
            <c:dLbl>
              <c:idx val="7"/>
              <c:layout>
                <c:manualLayout>
                  <c:x val="-3.0368763557483729E-2"/>
                  <c:y val="-6.7010309278350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2E-4DEB-8408-9F2F41B03C7F}"/>
                </c:ext>
              </c:extLst>
            </c:dLbl>
            <c:dLbl>
              <c:idx val="8"/>
              <c:layout>
                <c:manualLayout>
                  <c:x val="-4.3383947939262472E-2"/>
                  <c:y val="-8.2474226804123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2E-4DEB-8408-9F2F41B03C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 vs Rerouted'!$A$4:$A$14</c:f>
              <c:strCache>
                <c:ptCount val="10"/>
                <c:pt idx="0">
                  <c:v>Emirates</c:v>
                </c:pt>
                <c:pt idx="1">
                  <c:v>Qatar Airways</c:v>
                </c:pt>
                <c:pt idx="2">
                  <c:v>Turkish Airlines</c:v>
                </c:pt>
                <c:pt idx="3">
                  <c:v>Singapore Airlines</c:v>
                </c:pt>
                <c:pt idx="4">
                  <c:v>British Airways</c:v>
                </c:pt>
                <c:pt idx="5">
                  <c:v>Cathay Pacific</c:v>
                </c:pt>
                <c:pt idx="6">
                  <c:v>Etihad Airways</c:v>
                </c:pt>
                <c:pt idx="7">
                  <c:v>Air China</c:v>
                </c:pt>
                <c:pt idx="8">
                  <c:v>Lufthansa</c:v>
                </c:pt>
                <c:pt idx="9">
                  <c:v>China Eastern</c:v>
                </c:pt>
              </c:strCache>
            </c:strRef>
          </c:cat>
          <c:val>
            <c:numRef>
              <c:f>'Fuel vs Rerouted'!$C$4:$C$14</c:f>
              <c:numCache>
                <c:formatCode>General</c:formatCode>
                <c:ptCount val="10"/>
                <c:pt idx="0">
                  <c:v>62</c:v>
                </c:pt>
                <c:pt idx="1">
                  <c:v>41</c:v>
                </c:pt>
                <c:pt idx="2">
                  <c:v>38</c:v>
                </c:pt>
                <c:pt idx="3">
                  <c:v>35</c:v>
                </c:pt>
                <c:pt idx="4">
                  <c:v>32</c:v>
                </c:pt>
                <c:pt idx="5">
                  <c:v>31</c:v>
                </c:pt>
                <c:pt idx="6">
                  <c:v>29</c:v>
                </c:pt>
                <c:pt idx="7">
                  <c:v>28</c:v>
                </c:pt>
                <c:pt idx="8">
                  <c:v>28</c:v>
                </c:pt>
                <c:pt idx="9">
                  <c:v>27</c:v>
                </c:pt>
              </c:numCache>
            </c:numRef>
          </c:val>
          <c:smooth val="0"/>
          <c:extLst>
            <c:ext xmlns:c16="http://schemas.microsoft.com/office/drawing/2014/chart" uri="{C3380CC4-5D6E-409C-BE32-E72D297353CC}">
              <c16:uniqueId val="{00000001-AB2E-4DEB-8408-9F2F41B03C7F}"/>
            </c:ext>
          </c:extLst>
        </c:ser>
        <c:dLbls>
          <c:showLegendKey val="0"/>
          <c:showVal val="1"/>
          <c:showCatName val="0"/>
          <c:showSerName val="0"/>
          <c:showPercent val="0"/>
          <c:showBubbleSize val="0"/>
        </c:dLbls>
        <c:marker val="1"/>
        <c:smooth val="0"/>
        <c:axId val="1347368688"/>
        <c:axId val="1347366288"/>
      </c:lineChart>
      <c:catAx>
        <c:axId val="104296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42970688"/>
        <c:crosses val="autoZero"/>
        <c:auto val="1"/>
        <c:lblAlgn val="ctr"/>
        <c:lblOffset val="100"/>
        <c:noMultiLvlLbl val="0"/>
      </c:catAx>
      <c:valAx>
        <c:axId val="104297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2962048"/>
        <c:crosses val="autoZero"/>
        <c:crossBetween val="between"/>
      </c:valAx>
      <c:valAx>
        <c:axId val="13473662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7368688"/>
        <c:crosses val="max"/>
        <c:crossBetween val="between"/>
      </c:valAx>
      <c:catAx>
        <c:axId val="1347368688"/>
        <c:scaling>
          <c:orientation val="minMax"/>
        </c:scaling>
        <c:delete val="1"/>
        <c:axPos val="b"/>
        <c:numFmt formatCode="General" sourceLinked="1"/>
        <c:majorTickMark val="out"/>
        <c:minorTickMark val="none"/>
        <c:tickLblPos val="nextTo"/>
        <c:crossAx val="13473662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War.xlsx]Daily_Loss!PivotTable1</c:name>
    <c:fmtId val="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u="none">
                <a:solidFill>
                  <a:schemeClr val="tx1"/>
                </a:solidFill>
              </a:rPr>
              <a:t>Top</a:t>
            </a:r>
            <a:r>
              <a:rPr lang="en-US" sz="1100" b="1" u="none" baseline="0">
                <a:solidFill>
                  <a:schemeClr val="tx1"/>
                </a:solidFill>
              </a:rPr>
              <a:t> 5 Airlines by Estimated Daily Loss</a:t>
            </a:r>
          </a:p>
        </c:rich>
      </c:tx>
      <c:layout>
        <c:manualLayout>
          <c:xMode val="edge"/>
          <c:yMode val="edge"/>
          <c:x val="0.39354260717410322"/>
          <c:y val="2.880986188201884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14997360023874E-4"/>
          <c:y val="8.0320832777258794E-2"/>
          <c:w val="0.98287244094488191"/>
          <c:h val="0.71611193871036394"/>
        </c:manualLayout>
      </c:layout>
      <c:barChart>
        <c:barDir val="col"/>
        <c:grouping val="clustered"/>
        <c:varyColors val="0"/>
        <c:ser>
          <c:idx val="0"/>
          <c:order val="0"/>
          <c:tx>
            <c:strRef>
              <c:f>Daily_Loss!$B$1</c:f>
              <c:strCache>
                <c:ptCount val="1"/>
                <c:pt idx="0">
                  <c:v>Total</c:v>
                </c:pt>
              </c:strCache>
            </c:strRef>
          </c:tx>
          <c:spPr>
            <a:solidFill>
              <a:srgbClr val="92D050"/>
            </a:solidFill>
            <a:ln>
              <a:noFill/>
            </a:ln>
            <a:effectLst/>
          </c:spPr>
          <c:invertIfNegative val="0"/>
          <c:dLbls>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Daily_Loss!$A$2:$A$7</c:f>
              <c:strCache>
                <c:ptCount val="5"/>
                <c:pt idx="0">
                  <c:v>Emirates</c:v>
                </c:pt>
                <c:pt idx="1">
                  <c:v>Qatar Airways</c:v>
                </c:pt>
                <c:pt idx="2">
                  <c:v>El Al</c:v>
                </c:pt>
                <c:pt idx="3">
                  <c:v>Turkish Airlines</c:v>
                </c:pt>
                <c:pt idx="4">
                  <c:v>Singapore Airlines</c:v>
                </c:pt>
              </c:strCache>
            </c:strRef>
          </c:cat>
          <c:val>
            <c:numRef>
              <c:f>Daily_Loss!$B$2:$B$7</c:f>
              <c:numCache>
                <c:formatCode>General</c:formatCode>
                <c:ptCount val="5"/>
                <c:pt idx="0">
                  <c:v>4200000</c:v>
                </c:pt>
                <c:pt idx="1">
                  <c:v>3100000</c:v>
                </c:pt>
                <c:pt idx="2">
                  <c:v>2800000</c:v>
                </c:pt>
                <c:pt idx="3">
                  <c:v>2400000</c:v>
                </c:pt>
                <c:pt idx="4">
                  <c:v>2100000</c:v>
                </c:pt>
              </c:numCache>
            </c:numRef>
          </c:val>
          <c:extLst>
            <c:ext xmlns:c16="http://schemas.microsoft.com/office/drawing/2014/chart" uri="{C3380CC4-5D6E-409C-BE32-E72D297353CC}">
              <c16:uniqueId val="{00000000-C1D2-4EC9-ADD9-0B90ACFF3793}"/>
            </c:ext>
          </c:extLst>
        </c:ser>
        <c:dLbls>
          <c:dLblPos val="outEnd"/>
          <c:showLegendKey val="0"/>
          <c:showVal val="1"/>
          <c:showCatName val="0"/>
          <c:showSerName val="0"/>
          <c:showPercent val="0"/>
          <c:showBubbleSize val="0"/>
        </c:dLbls>
        <c:gapWidth val="219"/>
        <c:overlap val="-27"/>
        <c:axId val="568436304"/>
        <c:axId val="568435824"/>
      </c:barChart>
      <c:catAx>
        <c:axId val="56843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8435824"/>
        <c:crosses val="autoZero"/>
        <c:auto val="1"/>
        <c:lblAlgn val="ctr"/>
        <c:lblOffset val="100"/>
        <c:noMultiLvlLbl val="0"/>
      </c:catAx>
      <c:valAx>
        <c:axId val="568435824"/>
        <c:scaling>
          <c:orientation val="minMax"/>
        </c:scaling>
        <c:delete val="1"/>
        <c:axPos val="l"/>
        <c:numFmt formatCode="General" sourceLinked="1"/>
        <c:majorTickMark val="none"/>
        <c:minorTickMark val="none"/>
        <c:tickLblPos val="nextTo"/>
        <c:crossAx val="568436304"/>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War.xlsx]Fuel vs Rerouted!PivotTable5</c:name>
    <c:fmtId val="21"/>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solidFill>
                  <a:schemeClr val="tx1"/>
                </a:solidFill>
              </a:rPr>
              <a:t>Additional</a:t>
            </a:r>
            <a:r>
              <a:rPr lang="en-IN" sz="1100" b="1" baseline="0">
                <a:solidFill>
                  <a:schemeClr val="tx1"/>
                </a:solidFill>
              </a:rPr>
              <a:t> Fuel Cost vs Rerouted Flights by Airline</a:t>
            </a:r>
            <a:endParaRPr lang="en-IN" sz="1100" b="1">
              <a:solidFill>
                <a:schemeClr val="tx1"/>
              </a:solidFill>
            </a:endParaRPr>
          </a:p>
        </c:rich>
      </c:tx>
      <c:layout>
        <c:manualLayout>
          <c:xMode val="edge"/>
          <c:yMode val="edge"/>
          <c:x val="0.13526136491258717"/>
          <c:y val="1.659751037344398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7"/>
          <c:spPr>
            <a:solidFill>
              <a:schemeClr val="accent4">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7"/>
          <c:spPr>
            <a:solidFill>
              <a:schemeClr val="accent4">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pivotFmt>
      <c:pivotFmt>
        <c:idx val="5"/>
        <c:spPr>
          <a:ln w="28575" cap="rnd">
            <a:solidFill>
              <a:srgbClr val="0070C0"/>
            </a:solidFill>
            <a:round/>
          </a:ln>
          <a:effectLst/>
        </c:spPr>
        <c:marker>
          <c:symbol val="circle"/>
          <c:size val="5"/>
          <c:spPr>
            <a:solidFill>
              <a:srgbClr val="C00000"/>
            </a:solidFill>
            <a:ln w="9525">
              <a:solidFill>
                <a:srgbClr val="0070C0"/>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7.8508341511285568E-3"/>
              <c:y val="-0.1466666666666667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1.1776251226692836E-2"/>
              <c:y val="-0.1466666666666667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1.9627085377821392E-3"/>
              <c:y val="-0.17333280839895013"/>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7526987242394505E-2"/>
                  <c:h val="0.13323359580052493"/>
                </c:manualLayout>
              </c15:layout>
            </c:ext>
          </c:extLst>
        </c:dLbl>
      </c:pivotFmt>
      <c:pivotFmt>
        <c:idx val="9"/>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1.1776251226692907E-2"/>
              <c:y val="-0.15333333333333327"/>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1.9627085377821392E-3"/>
              <c:y val="-9.3333333333333338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0"/>
              <c:y val="-0.14666666666666667"/>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3.9254170755642064E-3"/>
              <c:y val="-0.1533333333333334"/>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7.8508341511285221E-3"/>
              <c:y val="-0.16666666666666666"/>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3.9254170755642784E-3"/>
              <c:y val="-0.14666666666666667"/>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0070C0"/>
            </a:solidFill>
            <a:round/>
          </a:ln>
          <a:effectLst/>
        </c:spPr>
        <c:marker>
          <c:symbol val="circle"/>
          <c:size val="5"/>
          <c:spPr>
            <a:solidFill>
              <a:srgbClr val="C00000"/>
            </a:solidFill>
            <a:ln w="9525">
              <a:solidFill>
                <a:srgbClr val="0070C0"/>
              </a:solidFill>
            </a:ln>
            <a:effectLst/>
          </c:spPr>
        </c:marker>
        <c:dLbl>
          <c:idx val="0"/>
          <c:layout>
            <c:manualLayout>
              <c:x val="1.5701668302257114E-2"/>
              <c:y val="-8.0000000000000029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5447652376787"/>
          <c:y val="0.28829585646056538"/>
          <c:w val="0.78352274437032954"/>
          <c:h val="0.50075280753840201"/>
        </c:manualLayout>
      </c:layout>
      <c:barChart>
        <c:barDir val="col"/>
        <c:grouping val="clustered"/>
        <c:varyColors val="0"/>
        <c:ser>
          <c:idx val="0"/>
          <c:order val="0"/>
          <c:tx>
            <c:strRef>
              <c:f>'Fuel vs Rerouted'!$B$3</c:f>
              <c:strCache>
                <c:ptCount val="1"/>
                <c:pt idx="0">
                  <c:v>Sum of additional_fuel_cost_usd</c:v>
                </c:pt>
              </c:strCache>
            </c:strRef>
          </c:tx>
          <c:spPr>
            <a:solidFill>
              <a:srgbClr val="FFC000"/>
            </a:solidFill>
            <a:ln>
              <a:noFill/>
            </a:ln>
            <a:effectLst/>
          </c:spPr>
          <c:invertIfNegative val="0"/>
          <c:dLbls>
            <c:delete val="1"/>
          </c:dLbls>
          <c:cat>
            <c:strRef>
              <c:f>'Fuel vs Rerouted'!$A$4:$A$14</c:f>
              <c:strCache>
                <c:ptCount val="10"/>
                <c:pt idx="0">
                  <c:v>Emirates</c:v>
                </c:pt>
                <c:pt idx="1">
                  <c:v>Qatar Airways</c:v>
                </c:pt>
                <c:pt idx="2">
                  <c:v>Turkish Airlines</c:v>
                </c:pt>
                <c:pt idx="3">
                  <c:v>Singapore Airlines</c:v>
                </c:pt>
                <c:pt idx="4">
                  <c:v>British Airways</c:v>
                </c:pt>
                <c:pt idx="5">
                  <c:v>Cathay Pacific</c:v>
                </c:pt>
                <c:pt idx="6">
                  <c:v>Etihad Airways</c:v>
                </c:pt>
                <c:pt idx="7">
                  <c:v>Air China</c:v>
                </c:pt>
                <c:pt idx="8">
                  <c:v>Lufthansa</c:v>
                </c:pt>
                <c:pt idx="9">
                  <c:v>China Eastern</c:v>
                </c:pt>
              </c:strCache>
            </c:strRef>
          </c:cat>
          <c:val>
            <c:numRef>
              <c:f>'Fuel vs Rerouted'!$B$4:$B$14</c:f>
              <c:numCache>
                <c:formatCode>General</c:formatCode>
                <c:ptCount val="10"/>
                <c:pt idx="0">
                  <c:v>2835200</c:v>
                </c:pt>
                <c:pt idx="1">
                  <c:v>1765800</c:v>
                </c:pt>
                <c:pt idx="2">
                  <c:v>1432600</c:v>
                </c:pt>
                <c:pt idx="3">
                  <c:v>1274000</c:v>
                </c:pt>
                <c:pt idx="4">
                  <c:v>1185600</c:v>
                </c:pt>
                <c:pt idx="5">
                  <c:v>1120600</c:v>
                </c:pt>
                <c:pt idx="6">
                  <c:v>1023400</c:v>
                </c:pt>
                <c:pt idx="7">
                  <c:v>980000</c:v>
                </c:pt>
                <c:pt idx="8">
                  <c:v>988000</c:v>
                </c:pt>
                <c:pt idx="9">
                  <c:v>952000</c:v>
                </c:pt>
              </c:numCache>
            </c:numRef>
          </c:val>
          <c:extLst>
            <c:ext xmlns:c16="http://schemas.microsoft.com/office/drawing/2014/chart" uri="{C3380CC4-5D6E-409C-BE32-E72D297353CC}">
              <c16:uniqueId val="{00000000-0AF5-4AFB-9B53-C649179142E2}"/>
            </c:ext>
          </c:extLst>
        </c:ser>
        <c:dLbls>
          <c:dLblPos val="inBase"/>
          <c:showLegendKey val="0"/>
          <c:showVal val="1"/>
          <c:showCatName val="0"/>
          <c:showSerName val="0"/>
          <c:showPercent val="0"/>
          <c:showBubbleSize val="0"/>
        </c:dLbls>
        <c:gapWidth val="219"/>
        <c:axId val="1042962048"/>
        <c:axId val="1042970688"/>
      </c:barChart>
      <c:lineChart>
        <c:grouping val="standard"/>
        <c:varyColors val="0"/>
        <c:ser>
          <c:idx val="1"/>
          <c:order val="1"/>
          <c:tx>
            <c:strRef>
              <c:f>'Fuel vs Rerouted'!$C$3</c:f>
              <c:strCache>
                <c:ptCount val="1"/>
                <c:pt idx="0">
                  <c:v>Sum of rerouted_flights</c:v>
                </c:pt>
              </c:strCache>
            </c:strRef>
          </c:tx>
          <c:spPr>
            <a:ln w="28575" cap="rnd">
              <a:solidFill>
                <a:srgbClr val="0070C0"/>
              </a:solidFill>
              <a:round/>
            </a:ln>
            <a:effectLst/>
          </c:spPr>
          <c:marker>
            <c:symbol val="circle"/>
            <c:size val="5"/>
            <c:spPr>
              <a:solidFill>
                <a:srgbClr val="C00000"/>
              </a:solidFill>
              <a:ln w="9525">
                <a:solidFill>
                  <a:srgbClr val="0070C0"/>
                </a:solidFill>
              </a:ln>
              <a:effectLst/>
            </c:spPr>
          </c:marker>
          <c:dPt>
            <c:idx val="0"/>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B-0AF5-4AFB-9B53-C649179142E2}"/>
              </c:ext>
            </c:extLst>
          </c:dPt>
          <c:dPt>
            <c:idx val="1"/>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A-0AF5-4AFB-9B53-C649179142E2}"/>
              </c:ext>
            </c:extLst>
          </c:dPt>
          <c:dPt>
            <c:idx val="2"/>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9-0AF5-4AFB-9B53-C649179142E2}"/>
              </c:ext>
            </c:extLst>
          </c:dPt>
          <c:dPt>
            <c:idx val="3"/>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7-0AF5-4AFB-9B53-C649179142E2}"/>
              </c:ext>
            </c:extLst>
          </c:dPt>
          <c:dPt>
            <c:idx val="4"/>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8-0AF5-4AFB-9B53-C649179142E2}"/>
              </c:ext>
            </c:extLst>
          </c:dPt>
          <c:dPt>
            <c:idx val="5"/>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6-0AF5-4AFB-9B53-C649179142E2}"/>
              </c:ext>
            </c:extLst>
          </c:dPt>
          <c:dPt>
            <c:idx val="6"/>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5-0AF5-4AFB-9B53-C649179142E2}"/>
              </c:ext>
            </c:extLst>
          </c:dPt>
          <c:dPt>
            <c:idx val="7"/>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4-0AF5-4AFB-9B53-C649179142E2}"/>
              </c:ext>
            </c:extLst>
          </c:dPt>
          <c:dPt>
            <c:idx val="8"/>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2-0AF5-4AFB-9B53-C649179142E2}"/>
              </c:ext>
            </c:extLst>
          </c:dPt>
          <c:dPt>
            <c:idx val="9"/>
            <c:marker>
              <c:symbol val="circle"/>
              <c:size val="5"/>
              <c:spPr>
                <a:solidFill>
                  <a:srgbClr val="C00000"/>
                </a:solidFill>
                <a:ln w="9525">
                  <a:solidFill>
                    <a:srgbClr val="0070C0"/>
                  </a:solidFill>
                </a:ln>
                <a:effectLst/>
              </c:spPr>
            </c:marker>
            <c:bubble3D val="0"/>
            <c:extLst>
              <c:ext xmlns:c16="http://schemas.microsoft.com/office/drawing/2014/chart" uri="{C3380CC4-5D6E-409C-BE32-E72D297353CC}">
                <c16:uniqueId val="{00000003-0AF5-4AFB-9B53-C649179142E2}"/>
              </c:ext>
            </c:extLst>
          </c:dPt>
          <c:dLbls>
            <c:dLbl>
              <c:idx val="0"/>
              <c:layout>
                <c:manualLayout>
                  <c:x val="1.5701668302257114E-2"/>
                  <c:y val="-8.00000000000000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F5-4AFB-9B53-C649179142E2}"/>
                </c:ext>
              </c:extLst>
            </c:dLbl>
            <c:dLbl>
              <c:idx val="1"/>
              <c:layout>
                <c:manualLayout>
                  <c:x val="3.9254170755642784E-3"/>
                  <c:y val="-0.14666666666666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F5-4AFB-9B53-C649179142E2}"/>
                </c:ext>
              </c:extLst>
            </c:dLbl>
            <c:dLbl>
              <c:idx val="2"/>
              <c:layout>
                <c:manualLayout>
                  <c:x val="7.8508341511285221E-3"/>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F5-4AFB-9B53-C649179142E2}"/>
                </c:ext>
              </c:extLst>
            </c:dLbl>
            <c:dLbl>
              <c:idx val="3"/>
              <c:layout>
                <c:manualLayout>
                  <c:x val="0"/>
                  <c:y val="-0.14666666666666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5-4AFB-9B53-C649179142E2}"/>
                </c:ext>
              </c:extLst>
            </c:dLbl>
            <c:dLbl>
              <c:idx val="4"/>
              <c:layout>
                <c:manualLayout>
                  <c:x val="3.9254170755642064E-3"/>
                  <c:y val="-0.15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5-4AFB-9B53-C649179142E2}"/>
                </c:ext>
              </c:extLst>
            </c:dLbl>
            <c:dLbl>
              <c:idx val="5"/>
              <c:layout>
                <c:manualLayout>
                  <c:x val="1.9627085377821392E-3"/>
                  <c:y val="-9.3333333333333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5-4AFB-9B53-C649179142E2}"/>
                </c:ext>
              </c:extLst>
            </c:dLbl>
            <c:dLbl>
              <c:idx val="6"/>
              <c:layout>
                <c:manualLayout>
                  <c:x val="-1.1776251226692907E-2"/>
                  <c:y val="-0.153333333333333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5-4AFB-9B53-C649179142E2}"/>
                </c:ext>
              </c:extLst>
            </c:dLbl>
            <c:dLbl>
              <c:idx val="7"/>
              <c:layout>
                <c:manualLayout>
                  <c:x val="-1.9627085377821392E-3"/>
                  <c:y val="-0.17333280839895013"/>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7526987242394505E-2"/>
                      <c:h val="0.13323359580052493"/>
                    </c:manualLayout>
                  </c15:layout>
                </c:ext>
                <c:ext xmlns:c16="http://schemas.microsoft.com/office/drawing/2014/chart" uri="{C3380CC4-5D6E-409C-BE32-E72D297353CC}">
                  <c16:uniqueId val="{00000004-0AF5-4AFB-9B53-C649179142E2}"/>
                </c:ext>
              </c:extLst>
            </c:dLbl>
            <c:dLbl>
              <c:idx val="8"/>
              <c:layout>
                <c:manualLayout>
                  <c:x val="-7.8508341511285568E-3"/>
                  <c:y val="-0.14666666666666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F5-4AFB-9B53-C649179142E2}"/>
                </c:ext>
              </c:extLst>
            </c:dLbl>
            <c:dLbl>
              <c:idx val="9"/>
              <c:layout>
                <c:manualLayout>
                  <c:x val="-1.1776251226692836E-2"/>
                  <c:y val="-0.14666666666666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F5-4AFB-9B53-C649179142E2}"/>
                </c:ext>
              </c:extLst>
            </c:dLbl>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 vs Rerouted'!$A$4:$A$14</c:f>
              <c:strCache>
                <c:ptCount val="10"/>
                <c:pt idx="0">
                  <c:v>Emirates</c:v>
                </c:pt>
                <c:pt idx="1">
                  <c:v>Qatar Airways</c:v>
                </c:pt>
                <c:pt idx="2">
                  <c:v>Turkish Airlines</c:v>
                </c:pt>
                <c:pt idx="3">
                  <c:v>Singapore Airlines</c:v>
                </c:pt>
                <c:pt idx="4">
                  <c:v>British Airways</c:v>
                </c:pt>
                <c:pt idx="5">
                  <c:v>Cathay Pacific</c:v>
                </c:pt>
                <c:pt idx="6">
                  <c:v>Etihad Airways</c:v>
                </c:pt>
                <c:pt idx="7">
                  <c:v>Air China</c:v>
                </c:pt>
                <c:pt idx="8">
                  <c:v>Lufthansa</c:v>
                </c:pt>
                <c:pt idx="9">
                  <c:v>China Eastern</c:v>
                </c:pt>
              </c:strCache>
            </c:strRef>
          </c:cat>
          <c:val>
            <c:numRef>
              <c:f>'Fuel vs Rerouted'!$C$4:$C$14</c:f>
              <c:numCache>
                <c:formatCode>General</c:formatCode>
                <c:ptCount val="10"/>
                <c:pt idx="0">
                  <c:v>62</c:v>
                </c:pt>
                <c:pt idx="1">
                  <c:v>41</c:v>
                </c:pt>
                <c:pt idx="2">
                  <c:v>38</c:v>
                </c:pt>
                <c:pt idx="3">
                  <c:v>35</c:v>
                </c:pt>
                <c:pt idx="4">
                  <c:v>32</c:v>
                </c:pt>
                <c:pt idx="5">
                  <c:v>31</c:v>
                </c:pt>
                <c:pt idx="6">
                  <c:v>29</c:v>
                </c:pt>
                <c:pt idx="7">
                  <c:v>28</c:v>
                </c:pt>
                <c:pt idx="8">
                  <c:v>28</c:v>
                </c:pt>
                <c:pt idx="9">
                  <c:v>27</c:v>
                </c:pt>
              </c:numCache>
            </c:numRef>
          </c:val>
          <c:smooth val="0"/>
          <c:extLst>
            <c:ext xmlns:c16="http://schemas.microsoft.com/office/drawing/2014/chart" uri="{C3380CC4-5D6E-409C-BE32-E72D297353CC}">
              <c16:uniqueId val="{00000001-0AF5-4AFB-9B53-C649179142E2}"/>
            </c:ext>
          </c:extLst>
        </c:ser>
        <c:dLbls>
          <c:showLegendKey val="0"/>
          <c:showVal val="1"/>
          <c:showCatName val="0"/>
          <c:showSerName val="0"/>
          <c:showPercent val="0"/>
          <c:showBubbleSize val="0"/>
        </c:dLbls>
        <c:marker val="1"/>
        <c:smooth val="0"/>
        <c:axId val="1347368688"/>
        <c:axId val="1347366288"/>
      </c:lineChart>
      <c:catAx>
        <c:axId val="104296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042970688"/>
        <c:crosses val="autoZero"/>
        <c:auto val="1"/>
        <c:lblAlgn val="ctr"/>
        <c:lblOffset val="100"/>
        <c:noMultiLvlLbl val="0"/>
      </c:catAx>
      <c:valAx>
        <c:axId val="104297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2962048"/>
        <c:crosses val="autoZero"/>
        <c:crossBetween val="between"/>
      </c:valAx>
      <c:valAx>
        <c:axId val="13473662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7368688"/>
        <c:crosses val="max"/>
        <c:crossBetween val="between"/>
      </c:valAx>
      <c:catAx>
        <c:axId val="1347368688"/>
        <c:scaling>
          <c:orientation val="minMax"/>
        </c:scaling>
        <c:delete val="1"/>
        <c:axPos val="b"/>
        <c:numFmt formatCode="General" sourceLinked="1"/>
        <c:majorTickMark val="out"/>
        <c:minorTickMark val="none"/>
        <c:tickLblPos val="nextTo"/>
        <c:crossAx val="1347366288"/>
        <c:crosses val="autoZero"/>
        <c:auto val="1"/>
        <c:lblAlgn val="ctr"/>
        <c:lblOffset val="100"/>
        <c:noMultiLvlLbl val="0"/>
      </c:catAx>
      <c:spPr>
        <a:noFill/>
        <a:ln>
          <a:noFill/>
        </a:ln>
        <a:effectLst/>
      </c:spPr>
    </c:plotArea>
    <c:legend>
      <c:legendPos val="t"/>
      <c:layout>
        <c:manualLayout>
          <c:xMode val="edge"/>
          <c:yMode val="edge"/>
          <c:x val="5.8804120073226142E-2"/>
          <c:y val="0.14986486486486486"/>
          <c:w val="0.83197137122565556"/>
          <c:h val="0.1140210683124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War.xlsx]Countries by impact!PivotTable4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Top 5 countries by Passengers Impacted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2.1244167962674958E-2"/>
          <c:y val="1.960784313725490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gradFill rotWithShape="1">
              <a:gsLst>
                <a:gs pos="0">
                  <a:srgbClr val="156082">
                    <a:satMod val="103000"/>
                    <a:lumMod val="102000"/>
                    <a:tint val="94000"/>
                  </a:srgbClr>
                </a:gs>
                <a:gs pos="50000">
                  <a:srgbClr val="156082">
                    <a:satMod val="110000"/>
                    <a:lumMod val="100000"/>
                    <a:shade val="100000"/>
                  </a:srgbClr>
                </a:gs>
                <a:gs pos="100000">
                  <a:srgbClr val="156082">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4.789651293588301E-3"/>
              <c:y val="-0.12079925493184319"/>
            </c:manualLayout>
          </c:layout>
          <c:spPr>
            <a:gradFill rotWithShape="1">
              <a:gsLst>
                <a:gs pos="0">
                  <a:srgbClr val="156082">
                    <a:satMod val="103000"/>
                    <a:lumMod val="102000"/>
                    <a:tint val="94000"/>
                  </a:srgbClr>
                </a:gs>
                <a:gs pos="50000">
                  <a:srgbClr val="156082">
                    <a:satMod val="110000"/>
                    <a:lumMod val="100000"/>
                    <a:shade val="100000"/>
                  </a:srgbClr>
                </a:gs>
                <a:gs pos="100000">
                  <a:srgbClr val="156082">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0564489847690973"/>
          <c:y val="0.14974993921484281"/>
          <c:w val="0.37330271216097982"/>
          <c:h val="0.6989497589397069"/>
        </c:manualLayout>
      </c:layout>
      <c:pieChart>
        <c:varyColors val="1"/>
        <c:ser>
          <c:idx val="0"/>
          <c:order val="0"/>
          <c:tx>
            <c:strRef>
              <c:f>'Countries by impact'!$B$1</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83-4993-97E1-312D511015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83-4993-97E1-312D511015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83-4993-97E1-312D511015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83-4993-97E1-312D511015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83-4993-97E1-312D511015C5}"/>
              </c:ext>
            </c:extLst>
          </c:dPt>
          <c:dLbls>
            <c:dLbl>
              <c:idx val="1"/>
              <c:layout>
                <c:manualLayout>
                  <c:x val="-4.789651293588301E-3"/>
                  <c:y val="-0.1207992549318431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83-4993-97E1-312D511015C5}"/>
                </c:ext>
              </c:extLst>
            </c:dLbl>
            <c:spPr>
              <a:gradFill rotWithShape="1">
                <a:gsLst>
                  <a:gs pos="0">
                    <a:srgbClr val="156082">
                      <a:satMod val="103000"/>
                      <a:lumMod val="102000"/>
                      <a:tint val="94000"/>
                    </a:srgbClr>
                  </a:gs>
                  <a:gs pos="50000">
                    <a:srgbClr val="156082">
                      <a:satMod val="110000"/>
                      <a:lumMod val="100000"/>
                      <a:shade val="100000"/>
                    </a:srgbClr>
                  </a:gs>
                  <a:gs pos="100000">
                    <a:srgbClr val="156082">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'Countries by impact'!$A$2:$A$7</c:f>
              <c:strCache>
                <c:ptCount val="5"/>
                <c:pt idx="0">
                  <c:v>China</c:v>
                </c:pt>
                <c:pt idx="1">
                  <c:v>Japan</c:v>
                </c:pt>
                <c:pt idx="2">
                  <c:v>Qatar</c:v>
                </c:pt>
                <c:pt idx="3">
                  <c:v>Turkey</c:v>
                </c:pt>
                <c:pt idx="4">
                  <c:v>UAE</c:v>
                </c:pt>
              </c:strCache>
            </c:strRef>
          </c:cat>
          <c:val>
            <c:numRef>
              <c:f>'Countries by impact'!$B$2:$B$7</c:f>
              <c:numCache>
                <c:formatCode>General</c:formatCode>
                <c:ptCount val="5"/>
                <c:pt idx="0">
                  <c:v>11400</c:v>
                </c:pt>
                <c:pt idx="1">
                  <c:v>6440</c:v>
                </c:pt>
                <c:pt idx="2">
                  <c:v>6540</c:v>
                </c:pt>
                <c:pt idx="3">
                  <c:v>7700</c:v>
                </c:pt>
                <c:pt idx="4">
                  <c:v>16300</c:v>
                </c:pt>
              </c:numCache>
            </c:numRef>
          </c:val>
          <c:extLst>
            <c:ext xmlns:c16="http://schemas.microsoft.com/office/drawing/2014/chart" uri="{C3380CC4-5D6E-409C-BE32-E72D297353CC}">
              <c16:uniqueId val="{0000000A-2983-4993-97E1-312D511015C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War.xlsx]Cancelled Flights!PivotTable2</c:name>
    <c:fmtId val="9"/>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Top</a:t>
            </a:r>
            <a:r>
              <a:rPr lang="en-US" sz="1050" b="1" baseline="0">
                <a:solidFill>
                  <a:schemeClr val="tx1"/>
                </a:solidFill>
              </a:rPr>
              <a:t> 12 Flights cancelled by Airlines</a:t>
            </a:r>
            <a:endParaRPr lang="en-US" sz="1050" b="1">
              <a:solidFill>
                <a:schemeClr val="tx1"/>
              </a:solidFill>
            </a:endParaRPr>
          </a:p>
        </c:rich>
      </c:tx>
      <c:layout>
        <c:manualLayout>
          <c:xMode val="edge"/>
          <c:yMode val="edge"/>
          <c:x val="0.19149249547690034"/>
          <c:y val="2.7423935091277891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EEA4C4"/>
          </a:solidFill>
          <a:ln>
            <a:noFill/>
          </a:ln>
          <a:effectLst/>
        </c:spPr>
        <c:marker>
          <c:symbol val="none"/>
        </c:marker>
      </c:pivotFmt>
      <c:pivotFmt>
        <c:idx val="1"/>
        <c:spPr>
          <a:solidFill>
            <a:srgbClr val="EEA4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A4C4"/>
          </a:solidFill>
          <a:ln>
            <a:noFill/>
          </a:ln>
          <a:effectLst/>
        </c:spPr>
      </c:pivotFmt>
      <c:pivotFmt>
        <c:idx val="3"/>
        <c:spPr>
          <a:solidFill>
            <a:srgbClr val="EEA4C4"/>
          </a:solidFill>
          <a:ln>
            <a:noFill/>
          </a:ln>
          <a:effectLst/>
        </c:spPr>
      </c:pivotFmt>
      <c:pivotFmt>
        <c:idx val="4"/>
        <c:spPr>
          <a:solidFill>
            <a:srgbClr val="EEA4C4"/>
          </a:solidFill>
          <a:ln>
            <a:noFill/>
          </a:ln>
          <a:effectLst/>
        </c:spPr>
      </c:pivotFmt>
      <c:pivotFmt>
        <c:idx val="5"/>
        <c:spPr>
          <a:solidFill>
            <a:srgbClr val="EEA4C4"/>
          </a:solidFill>
          <a:ln>
            <a:noFill/>
          </a:ln>
          <a:effectLst/>
        </c:spPr>
      </c:pivotFmt>
      <c:pivotFmt>
        <c:idx val="6"/>
        <c:spPr>
          <a:solidFill>
            <a:srgbClr val="EEA4C4"/>
          </a:solidFill>
          <a:ln>
            <a:noFill/>
          </a:ln>
          <a:effectLst/>
        </c:spPr>
      </c:pivotFmt>
      <c:pivotFmt>
        <c:idx val="7"/>
        <c:spPr>
          <a:solidFill>
            <a:srgbClr val="EEA4C4"/>
          </a:solidFill>
          <a:ln>
            <a:noFill/>
          </a:ln>
          <a:effectLst/>
        </c:spPr>
      </c:pivotFmt>
      <c:pivotFmt>
        <c:idx val="8"/>
        <c:spPr>
          <a:solidFill>
            <a:srgbClr val="EEA4C4"/>
          </a:solidFill>
          <a:ln>
            <a:noFill/>
          </a:ln>
          <a:effectLst/>
        </c:spPr>
      </c:pivotFmt>
      <c:pivotFmt>
        <c:idx val="9"/>
        <c:spPr>
          <a:solidFill>
            <a:srgbClr val="EEA4C4"/>
          </a:solidFill>
          <a:ln>
            <a:noFill/>
          </a:ln>
          <a:effectLst/>
        </c:spPr>
      </c:pivotFmt>
      <c:pivotFmt>
        <c:idx val="10"/>
        <c:spPr>
          <a:solidFill>
            <a:srgbClr val="EEA4C4"/>
          </a:solidFill>
          <a:ln>
            <a:noFill/>
          </a:ln>
          <a:effectLst/>
        </c:spPr>
      </c:pivotFmt>
      <c:pivotFmt>
        <c:idx val="11"/>
        <c:spPr>
          <a:solidFill>
            <a:srgbClr val="EEA4C4"/>
          </a:solidFill>
          <a:ln>
            <a:noFill/>
          </a:ln>
          <a:effectLst/>
        </c:spPr>
      </c:pivotFmt>
      <c:pivotFmt>
        <c:idx val="12"/>
        <c:spPr>
          <a:solidFill>
            <a:srgbClr val="EEA4C4"/>
          </a:solidFill>
          <a:ln>
            <a:noFill/>
          </a:ln>
          <a:effectLst/>
        </c:spPr>
      </c:pivotFmt>
      <c:pivotFmt>
        <c:idx val="13"/>
        <c:spPr>
          <a:solidFill>
            <a:srgbClr val="EEA4C4"/>
          </a:solidFill>
          <a:ln>
            <a:noFill/>
          </a:ln>
          <a:effectLst/>
        </c:spPr>
      </c:pivotFmt>
      <c:pivotFmt>
        <c:idx val="14"/>
        <c:spPr>
          <a:solidFill>
            <a:srgbClr val="EEA4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EEA4C4"/>
          </a:solidFill>
          <a:ln>
            <a:noFill/>
          </a:ln>
          <a:effectLst/>
        </c:spPr>
      </c:pivotFmt>
      <c:pivotFmt>
        <c:idx val="16"/>
        <c:spPr>
          <a:solidFill>
            <a:srgbClr val="EEA4C4"/>
          </a:solidFill>
          <a:ln>
            <a:noFill/>
          </a:ln>
          <a:effectLst/>
        </c:spPr>
      </c:pivotFmt>
      <c:pivotFmt>
        <c:idx val="17"/>
        <c:spPr>
          <a:solidFill>
            <a:srgbClr val="EEA4C4"/>
          </a:solidFill>
          <a:ln>
            <a:noFill/>
          </a:ln>
          <a:effectLst/>
        </c:spPr>
      </c:pivotFmt>
      <c:pivotFmt>
        <c:idx val="18"/>
        <c:spPr>
          <a:solidFill>
            <a:srgbClr val="EEA4C4"/>
          </a:solidFill>
          <a:ln>
            <a:noFill/>
          </a:ln>
          <a:effectLst/>
        </c:spPr>
      </c:pivotFmt>
      <c:pivotFmt>
        <c:idx val="19"/>
        <c:spPr>
          <a:solidFill>
            <a:srgbClr val="EEA4C4"/>
          </a:solidFill>
          <a:ln>
            <a:noFill/>
          </a:ln>
          <a:effectLst/>
        </c:spPr>
      </c:pivotFmt>
      <c:pivotFmt>
        <c:idx val="20"/>
        <c:spPr>
          <a:solidFill>
            <a:srgbClr val="EEA4C4"/>
          </a:solidFill>
          <a:ln>
            <a:noFill/>
          </a:ln>
          <a:effectLst/>
        </c:spPr>
      </c:pivotFmt>
      <c:pivotFmt>
        <c:idx val="21"/>
        <c:spPr>
          <a:solidFill>
            <a:srgbClr val="EEA4C4"/>
          </a:solidFill>
          <a:ln>
            <a:noFill/>
          </a:ln>
          <a:effectLst/>
        </c:spPr>
      </c:pivotFmt>
      <c:pivotFmt>
        <c:idx val="22"/>
        <c:spPr>
          <a:solidFill>
            <a:srgbClr val="EEA4C4"/>
          </a:solidFill>
          <a:ln>
            <a:noFill/>
          </a:ln>
          <a:effectLst/>
        </c:spPr>
      </c:pivotFmt>
      <c:pivotFmt>
        <c:idx val="23"/>
        <c:spPr>
          <a:solidFill>
            <a:srgbClr val="EEA4C4"/>
          </a:solidFill>
          <a:ln>
            <a:noFill/>
          </a:ln>
          <a:effectLst/>
        </c:spPr>
      </c:pivotFmt>
      <c:pivotFmt>
        <c:idx val="24"/>
        <c:spPr>
          <a:solidFill>
            <a:srgbClr val="EEA4C4"/>
          </a:solidFill>
          <a:ln>
            <a:noFill/>
          </a:ln>
          <a:effectLst/>
        </c:spPr>
      </c:pivotFmt>
      <c:pivotFmt>
        <c:idx val="25"/>
        <c:spPr>
          <a:solidFill>
            <a:srgbClr val="EEA4C4"/>
          </a:solidFill>
          <a:ln>
            <a:noFill/>
          </a:ln>
          <a:effectLst/>
        </c:spPr>
      </c:pivotFmt>
      <c:pivotFmt>
        <c:idx val="26"/>
        <c:spPr>
          <a:solidFill>
            <a:srgbClr val="EEA4C4"/>
          </a:solidFill>
          <a:ln>
            <a:noFill/>
          </a:ln>
          <a:effectLst/>
        </c:spPr>
      </c:pivotFmt>
    </c:pivotFmts>
    <c:plotArea>
      <c:layout>
        <c:manualLayout>
          <c:layoutTarget val="inner"/>
          <c:xMode val="edge"/>
          <c:yMode val="edge"/>
          <c:x val="0.4098346201870397"/>
          <c:y val="0.13307278273785755"/>
          <c:w val="0.59016537981296024"/>
          <c:h val="0.82011954477350246"/>
        </c:manualLayout>
      </c:layout>
      <c:barChart>
        <c:barDir val="bar"/>
        <c:grouping val="clustered"/>
        <c:varyColors val="1"/>
        <c:ser>
          <c:idx val="0"/>
          <c:order val="0"/>
          <c:tx>
            <c:strRef>
              <c:f>'Cancelled Flights'!$B$1</c:f>
              <c:strCache>
                <c:ptCount val="1"/>
                <c:pt idx="0">
                  <c:v>Total</c:v>
                </c:pt>
              </c:strCache>
            </c:strRef>
          </c:tx>
          <c:spPr>
            <a:solidFill>
              <a:srgbClr val="EEA4C4"/>
            </a:solidFill>
          </c:spPr>
          <c:invertIfNegative val="0"/>
          <c:dPt>
            <c:idx val="0"/>
            <c:invertIfNegative val="0"/>
            <c:bubble3D val="0"/>
            <c:spPr>
              <a:solidFill>
                <a:srgbClr val="EEA4C4"/>
              </a:solidFill>
              <a:ln>
                <a:noFill/>
              </a:ln>
              <a:effectLst/>
            </c:spPr>
            <c:extLst>
              <c:ext xmlns:c16="http://schemas.microsoft.com/office/drawing/2014/chart" uri="{C3380CC4-5D6E-409C-BE32-E72D297353CC}">
                <c16:uniqueId val="{00000001-4594-4B3C-A311-9EF4B31DB77E}"/>
              </c:ext>
            </c:extLst>
          </c:dPt>
          <c:dPt>
            <c:idx val="1"/>
            <c:invertIfNegative val="0"/>
            <c:bubble3D val="0"/>
            <c:spPr>
              <a:solidFill>
                <a:srgbClr val="EEA4C4"/>
              </a:solidFill>
              <a:ln>
                <a:noFill/>
              </a:ln>
              <a:effectLst/>
            </c:spPr>
            <c:extLst>
              <c:ext xmlns:c16="http://schemas.microsoft.com/office/drawing/2014/chart" uri="{C3380CC4-5D6E-409C-BE32-E72D297353CC}">
                <c16:uniqueId val="{00000003-4594-4B3C-A311-9EF4B31DB77E}"/>
              </c:ext>
            </c:extLst>
          </c:dPt>
          <c:dPt>
            <c:idx val="2"/>
            <c:invertIfNegative val="0"/>
            <c:bubble3D val="0"/>
            <c:spPr>
              <a:solidFill>
                <a:srgbClr val="EEA4C4"/>
              </a:solidFill>
              <a:ln>
                <a:noFill/>
              </a:ln>
              <a:effectLst/>
            </c:spPr>
            <c:extLst>
              <c:ext xmlns:c16="http://schemas.microsoft.com/office/drawing/2014/chart" uri="{C3380CC4-5D6E-409C-BE32-E72D297353CC}">
                <c16:uniqueId val="{00000005-4594-4B3C-A311-9EF4B31DB77E}"/>
              </c:ext>
            </c:extLst>
          </c:dPt>
          <c:dPt>
            <c:idx val="3"/>
            <c:invertIfNegative val="0"/>
            <c:bubble3D val="0"/>
            <c:spPr>
              <a:solidFill>
                <a:srgbClr val="EEA4C4"/>
              </a:solidFill>
              <a:ln>
                <a:noFill/>
              </a:ln>
              <a:effectLst/>
            </c:spPr>
            <c:extLst>
              <c:ext xmlns:c16="http://schemas.microsoft.com/office/drawing/2014/chart" uri="{C3380CC4-5D6E-409C-BE32-E72D297353CC}">
                <c16:uniqueId val="{00000007-4594-4B3C-A311-9EF4B31DB77E}"/>
              </c:ext>
            </c:extLst>
          </c:dPt>
          <c:dPt>
            <c:idx val="4"/>
            <c:invertIfNegative val="0"/>
            <c:bubble3D val="0"/>
            <c:spPr>
              <a:solidFill>
                <a:srgbClr val="EEA4C4"/>
              </a:solidFill>
              <a:ln>
                <a:noFill/>
              </a:ln>
              <a:effectLst/>
            </c:spPr>
            <c:extLst>
              <c:ext xmlns:c16="http://schemas.microsoft.com/office/drawing/2014/chart" uri="{C3380CC4-5D6E-409C-BE32-E72D297353CC}">
                <c16:uniqueId val="{00000009-4594-4B3C-A311-9EF4B31DB77E}"/>
              </c:ext>
            </c:extLst>
          </c:dPt>
          <c:dPt>
            <c:idx val="5"/>
            <c:invertIfNegative val="0"/>
            <c:bubble3D val="0"/>
            <c:spPr>
              <a:solidFill>
                <a:srgbClr val="EEA4C4"/>
              </a:solidFill>
              <a:ln>
                <a:noFill/>
              </a:ln>
              <a:effectLst/>
            </c:spPr>
            <c:extLst>
              <c:ext xmlns:c16="http://schemas.microsoft.com/office/drawing/2014/chart" uri="{C3380CC4-5D6E-409C-BE32-E72D297353CC}">
                <c16:uniqueId val="{0000000B-4594-4B3C-A311-9EF4B31DB77E}"/>
              </c:ext>
            </c:extLst>
          </c:dPt>
          <c:dPt>
            <c:idx val="6"/>
            <c:invertIfNegative val="0"/>
            <c:bubble3D val="0"/>
            <c:spPr>
              <a:solidFill>
                <a:srgbClr val="EEA4C4"/>
              </a:solidFill>
              <a:ln>
                <a:noFill/>
              </a:ln>
              <a:effectLst/>
            </c:spPr>
            <c:extLst>
              <c:ext xmlns:c16="http://schemas.microsoft.com/office/drawing/2014/chart" uri="{C3380CC4-5D6E-409C-BE32-E72D297353CC}">
                <c16:uniqueId val="{0000000D-4594-4B3C-A311-9EF4B31DB77E}"/>
              </c:ext>
            </c:extLst>
          </c:dPt>
          <c:dPt>
            <c:idx val="7"/>
            <c:invertIfNegative val="0"/>
            <c:bubble3D val="0"/>
            <c:spPr>
              <a:solidFill>
                <a:srgbClr val="EEA4C4"/>
              </a:solidFill>
              <a:ln>
                <a:noFill/>
              </a:ln>
              <a:effectLst/>
            </c:spPr>
            <c:extLst>
              <c:ext xmlns:c16="http://schemas.microsoft.com/office/drawing/2014/chart" uri="{C3380CC4-5D6E-409C-BE32-E72D297353CC}">
                <c16:uniqueId val="{0000000F-4594-4B3C-A311-9EF4B31DB77E}"/>
              </c:ext>
            </c:extLst>
          </c:dPt>
          <c:dPt>
            <c:idx val="8"/>
            <c:invertIfNegative val="0"/>
            <c:bubble3D val="0"/>
            <c:spPr>
              <a:solidFill>
                <a:srgbClr val="EEA4C4"/>
              </a:solidFill>
              <a:ln>
                <a:noFill/>
              </a:ln>
              <a:effectLst/>
            </c:spPr>
            <c:extLst>
              <c:ext xmlns:c16="http://schemas.microsoft.com/office/drawing/2014/chart" uri="{C3380CC4-5D6E-409C-BE32-E72D297353CC}">
                <c16:uniqueId val="{00000011-4594-4B3C-A311-9EF4B31DB77E}"/>
              </c:ext>
            </c:extLst>
          </c:dPt>
          <c:dPt>
            <c:idx val="9"/>
            <c:invertIfNegative val="0"/>
            <c:bubble3D val="0"/>
            <c:spPr>
              <a:solidFill>
                <a:srgbClr val="EEA4C4"/>
              </a:solidFill>
              <a:ln>
                <a:noFill/>
              </a:ln>
              <a:effectLst/>
            </c:spPr>
            <c:extLst>
              <c:ext xmlns:c16="http://schemas.microsoft.com/office/drawing/2014/chart" uri="{C3380CC4-5D6E-409C-BE32-E72D297353CC}">
                <c16:uniqueId val="{00000013-4594-4B3C-A311-9EF4B31DB77E}"/>
              </c:ext>
            </c:extLst>
          </c:dPt>
          <c:dPt>
            <c:idx val="10"/>
            <c:invertIfNegative val="0"/>
            <c:bubble3D val="0"/>
            <c:spPr>
              <a:solidFill>
                <a:srgbClr val="EEA4C4"/>
              </a:solidFill>
              <a:ln>
                <a:noFill/>
              </a:ln>
              <a:effectLst/>
            </c:spPr>
            <c:extLst>
              <c:ext xmlns:c16="http://schemas.microsoft.com/office/drawing/2014/chart" uri="{C3380CC4-5D6E-409C-BE32-E72D297353CC}">
                <c16:uniqueId val="{00000015-4594-4B3C-A311-9EF4B31DB77E}"/>
              </c:ext>
            </c:extLst>
          </c:dPt>
          <c:dPt>
            <c:idx val="11"/>
            <c:invertIfNegative val="0"/>
            <c:bubble3D val="0"/>
            <c:spPr>
              <a:solidFill>
                <a:srgbClr val="EEA4C4"/>
              </a:solidFill>
              <a:ln>
                <a:noFill/>
              </a:ln>
              <a:effectLst/>
            </c:spPr>
            <c:extLst>
              <c:ext xmlns:c16="http://schemas.microsoft.com/office/drawing/2014/chart" uri="{C3380CC4-5D6E-409C-BE32-E72D297353CC}">
                <c16:uniqueId val="{00000017-4594-4B3C-A311-9EF4B31DB77E}"/>
              </c:ext>
            </c:extLst>
          </c:dPt>
          <c:cat>
            <c:strRef>
              <c:f>'Cancelled Flights'!$A$2:$A$14</c:f>
              <c:strCache>
                <c:ptCount val="12"/>
                <c:pt idx="0">
                  <c:v>Cathay Pacific</c:v>
                </c:pt>
                <c:pt idx="1">
                  <c:v>Aeroflot</c:v>
                </c:pt>
                <c:pt idx="2">
                  <c:v>British Airways</c:v>
                </c:pt>
                <c:pt idx="3">
                  <c:v>PIA</c:v>
                </c:pt>
                <c:pt idx="4">
                  <c:v>flydubai</c:v>
                </c:pt>
                <c:pt idx="5">
                  <c:v>Singapore Airlines</c:v>
                </c:pt>
                <c:pt idx="6">
                  <c:v>Etihad Airways</c:v>
                </c:pt>
                <c:pt idx="7">
                  <c:v>Saudia</c:v>
                </c:pt>
                <c:pt idx="8">
                  <c:v>El Al</c:v>
                </c:pt>
                <c:pt idx="9">
                  <c:v>Qatar Airways</c:v>
                </c:pt>
                <c:pt idx="10">
                  <c:v>Turkish Airlines</c:v>
                </c:pt>
                <c:pt idx="11">
                  <c:v>Emirates</c:v>
                </c:pt>
              </c:strCache>
            </c:strRef>
          </c:cat>
          <c:val>
            <c:numRef>
              <c:f>'Cancelled Flights'!$B$2:$B$14</c:f>
              <c:numCache>
                <c:formatCode>General</c:formatCode>
                <c:ptCount val="12"/>
                <c:pt idx="0">
                  <c:v>6</c:v>
                </c:pt>
                <c:pt idx="1">
                  <c:v>6</c:v>
                </c:pt>
                <c:pt idx="2">
                  <c:v>6</c:v>
                </c:pt>
                <c:pt idx="3">
                  <c:v>6</c:v>
                </c:pt>
                <c:pt idx="4">
                  <c:v>7</c:v>
                </c:pt>
                <c:pt idx="5">
                  <c:v>7</c:v>
                </c:pt>
                <c:pt idx="6">
                  <c:v>8</c:v>
                </c:pt>
                <c:pt idx="7">
                  <c:v>9</c:v>
                </c:pt>
                <c:pt idx="8">
                  <c:v>12</c:v>
                </c:pt>
                <c:pt idx="9">
                  <c:v>12</c:v>
                </c:pt>
                <c:pt idx="10">
                  <c:v>14</c:v>
                </c:pt>
                <c:pt idx="11">
                  <c:v>18</c:v>
                </c:pt>
              </c:numCache>
            </c:numRef>
          </c:val>
          <c:extLst>
            <c:ext xmlns:c16="http://schemas.microsoft.com/office/drawing/2014/chart" uri="{C3380CC4-5D6E-409C-BE32-E72D297353CC}">
              <c16:uniqueId val="{00000018-4594-4B3C-A311-9EF4B31DB77E}"/>
            </c:ext>
          </c:extLst>
        </c:ser>
        <c:dLbls>
          <c:showLegendKey val="0"/>
          <c:showVal val="0"/>
          <c:showCatName val="0"/>
          <c:showSerName val="0"/>
          <c:showPercent val="0"/>
          <c:showBubbleSize val="0"/>
        </c:dLbls>
        <c:gapWidth val="114"/>
        <c:overlap val="60"/>
        <c:axId val="1151556032"/>
        <c:axId val="1151559872"/>
      </c:barChart>
      <c:catAx>
        <c:axId val="115155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559872"/>
        <c:crosses val="autoZero"/>
        <c:auto val="1"/>
        <c:lblAlgn val="ctr"/>
        <c:lblOffset val="100"/>
        <c:noMultiLvlLbl val="0"/>
      </c:catAx>
      <c:valAx>
        <c:axId val="1151559872"/>
        <c:scaling>
          <c:orientation val="minMax"/>
        </c:scaling>
        <c:delete val="1"/>
        <c:axPos val="b"/>
        <c:numFmt formatCode="General" sourceLinked="1"/>
        <c:majorTickMark val="none"/>
        <c:minorTickMark val="none"/>
        <c:tickLblPos val="nextTo"/>
        <c:crossAx val="115155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Airline Disruption -2026 Iran-US War.xlsx]Passengers impacted!PivotTable3</c:name>
    <c:fmtId val="1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Top 5</a:t>
            </a:r>
            <a:r>
              <a:rPr lang="en-IN" sz="1200" b="1" baseline="0">
                <a:solidFill>
                  <a:schemeClr val="tx1"/>
                </a:solidFill>
              </a:rPr>
              <a:t> Airlines by Passengers Impacted</a:t>
            </a:r>
            <a:endParaRPr lang="en-IN" sz="1200" b="1">
              <a:solidFill>
                <a:schemeClr val="tx1"/>
              </a:solidFill>
            </a:endParaRPr>
          </a:p>
        </c:rich>
      </c:tx>
      <c:layout>
        <c:manualLayout>
          <c:xMode val="edge"/>
          <c:yMode val="edge"/>
          <c:x val="0.38900660144754634"/>
          <c:y val="7.7519379844961239E-3"/>
        </c:manualLayout>
      </c:layout>
      <c:overlay val="1"/>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triangle"/>
          <c:size val="9"/>
          <c:spPr>
            <a:solidFill>
              <a:srgbClr val="FF0000"/>
            </a:solidFill>
            <a:ln w="19050">
              <a:solidFill>
                <a:srgbClr val="0070C0"/>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triangle"/>
          <c:size val="9"/>
          <c:spPr>
            <a:solidFill>
              <a:srgbClr val="FF0000"/>
            </a:solidFill>
            <a:ln w="19050">
              <a:solidFill>
                <a:srgbClr val="0070C0"/>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triangle"/>
          <c:size val="9"/>
          <c:spPr>
            <a:solidFill>
              <a:srgbClr val="FF0000"/>
            </a:solidFill>
            <a:ln w="19050">
              <a:solidFill>
                <a:srgbClr val="0070C0"/>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98220797621536E-2"/>
          <c:y val="0.3792004845548152"/>
          <c:w val="0.97215106961187381"/>
          <c:h val="0.35687608785743885"/>
        </c:manualLayout>
      </c:layout>
      <c:lineChart>
        <c:grouping val="standard"/>
        <c:varyColors val="0"/>
        <c:ser>
          <c:idx val="0"/>
          <c:order val="0"/>
          <c:tx>
            <c:strRef>
              <c:f>'Passengers impacted'!$B$1</c:f>
              <c:strCache>
                <c:ptCount val="1"/>
                <c:pt idx="0">
                  <c:v>Total</c:v>
                </c:pt>
              </c:strCache>
            </c:strRef>
          </c:tx>
          <c:spPr>
            <a:ln w="28575" cap="rnd">
              <a:solidFill>
                <a:schemeClr val="accent1"/>
              </a:solidFill>
              <a:round/>
            </a:ln>
            <a:effectLst/>
          </c:spPr>
          <c:marker>
            <c:symbol val="triangle"/>
            <c:size val="9"/>
            <c:spPr>
              <a:solidFill>
                <a:srgbClr val="FF0000"/>
              </a:solidFill>
              <a:ln w="19050">
                <a:solidFill>
                  <a:srgbClr val="0070C0"/>
                </a:solidFill>
              </a:ln>
              <a:effectLst/>
            </c:spPr>
          </c:marker>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'Passengers impacted'!$A$2:$A$7</c:f>
              <c:strCache>
                <c:ptCount val="5"/>
                <c:pt idx="0">
                  <c:v>British Airways</c:v>
                </c:pt>
                <c:pt idx="1">
                  <c:v>Emirates</c:v>
                </c:pt>
                <c:pt idx="2">
                  <c:v>Qatar Airways</c:v>
                </c:pt>
                <c:pt idx="3">
                  <c:v>Singapore Airlines</c:v>
                </c:pt>
                <c:pt idx="4">
                  <c:v>Turkish Airlines</c:v>
                </c:pt>
              </c:strCache>
            </c:strRef>
          </c:cat>
          <c:val>
            <c:numRef>
              <c:f>'Passengers impacted'!$B$2:$B$7</c:f>
              <c:numCache>
                <c:formatCode>General</c:formatCode>
                <c:ptCount val="5"/>
                <c:pt idx="0">
                  <c:v>4680</c:v>
                </c:pt>
                <c:pt idx="1">
                  <c:v>9180</c:v>
                </c:pt>
                <c:pt idx="2">
                  <c:v>6540</c:v>
                </c:pt>
                <c:pt idx="3">
                  <c:v>5110</c:v>
                </c:pt>
                <c:pt idx="4">
                  <c:v>7700</c:v>
                </c:pt>
              </c:numCache>
            </c:numRef>
          </c:val>
          <c:smooth val="0"/>
          <c:extLst>
            <c:ext xmlns:c16="http://schemas.microsoft.com/office/drawing/2014/chart" uri="{C3380CC4-5D6E-409C-BE32-E72D297353CC}">
              <c16:uniqueId val="{00000000-B2A8-42C6-BB64-F6D3C6F58E67}"/>
            </c:ext>
          </c:extLst>
        </c:ser>
        <c:dLbls>
          <c:dLblPos val="t"/>
          <c:showLegendKey val="0"/>
          <c:showVal val="1"/>
          <c:showCatName val="0"/>
          <c:showSerName val="0"/>
          <c:showPercent val="0"/>
          <c:showBubbleSize val="0"/>
        </c:dLbls>
        <c:marker val="1"/>
        <c:smooth val="0"/>
        <c:axId val="564380032"/>
        <c:axId val="1283149040"/>
      </c:lineChart>
      <c:catAx>
        <c:axId val="56438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83149040"/>
        <c:crosses val="autoZero"/>
        <c:auto val="1"/>
        <c:lblAlgn val="ctr"/>
        <c:lblOffset val="100"/>
        <c:noMultiLvlLbl val="0"/>
      </c:catAx>
      <c:valAx>
        <c:axId val="1283149040"/>
        <c:scaling>
          <c:orientation val="minMax"/>
        </c:scaling>
        <c:delete val="1"/>
        <c:axPos val="l"/>
        <c:numFmt formatCode="General" sourceLinked="1"/>
        <c:majorTickMark val="none"/>
        <c:minorTickMark val="none"/>
        <c:tickLblPos val="nextTo"/>
        <c:crossAx val="5643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393700</xdr:colOff>
      <xdr:row>0</xdr:row>
      <xdr:rowOff>44450</xdr:rowOff>
    </xdr:from>
    <xdr:to>
      <xdr:col>11</xdr:col>
      <xdr:colOff>6350</xdr:colOff>
      <xdr:row>15</xdr:row>
      <xdr:rowOff>6350</xdr:rowOff>
    </xdr:to>
    <xdr:graphicFrame macro="">
      <xdr:nvGraphicFramePr>
        <xdr:cNvPr id="3" name="Chart 2">
          <a:extLst>
            <a:ext uri="{FF2B5EF4-FFF2-40B4-BE49-F238E27FC236}">
              <a16:creationId xmlns:a16="http://schemas.microsoft.com/office/drawing/2014/main" id="{6C84ACF6-B23A-F7F4-5C2C-5E035E30F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349250</xdr:colOff>
      <xdr:row>0</xdr:row>
      <xdr:rowOff>177800</xdr:rowOff>
    </xdr:from>
    <xdr:to>
      <xdr:col>11</xdr:col>
      <xdr:colOff>336550</xdr:colOff>
      <xdr:row>17</xdr:row>
      <xdr:rowOff>120650</xdr:rowOff>
    </xdr:to>
    <xdr:graphicFrame macro="">
      <xdr:nvGraphicFramePr>
        <xdr:cNvPr id="2" name="Chart 1">
          <a:extLst>
            <a:ext uri="{FF2B5EF4-FFF2-40B4-BE49-F238E27FC236}">
              <a16:creationId xmlns:a16="http://schemas.microsoft.com/office/drawing/2014/main" id="{77FC1F19-A268-1384-2624-5CD639C15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101600</xdr:colOff>
      <xdr:row>0</xdr:row>
      <xdr:rowOff>38100</xdr:rowOff>
    </xdr:from>
    <xdr:to>
      <xdr:col>12</xdr:col>
      <xdr:colOff>533400</xdr:colOff>
      <xdr:row>13</xdr:row>
      <xdr:rowOff>177800</xdr:rowOff>
    </xdr:to>
    <xdr:graphicFrame macro="">
      <xdr:nvGraphicFramePr>
        <xdr:cNvPr id="2" name="Chart 1">
          <a:extLst>
            <a:ext uri="{FF2B5EF4-FFF2-40B4-BE49-F238E27FC236}">
              <a16:creationId xmlns:a16="http://schemas.microsoft.com/office/drawing/2014/main" id="{154C05C9-97BB-24CF-F401-A4C913909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241300</xdr:colOff>
      <xdr:row>0</xdr:row>
      <xdr:rowOff>165100</xdr:rowOff>
    </xdr:from>
    <xdr:to>
      <xdr:col>10</xdr:col>
      <xdr:colOff>488950</xdr:colOff>
      <xdr:row>15</xdr:row>
      <xdr:rowOff>76200</xdr:rowOff>
    </xdr:to>
    <xdr:graphicFrame macro="">
      <xdr:nvGraphicFramePr>
        <xdr:cNvPr id="2" name="Chart 1">
          <a:extLst>
            <a:ext uri="{FF2B5EF4-FFF2-40B4-BE49-F238E27FC236}">
              <a16:creationId xmlns:a16="http://schemas.microsoft.com/office/drawing/2014/main" id="{8D16ACD6-0CDF-712E-30A7-0F22124EB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425450</xdr:colOff>
      <xdr:row>1</xdr:row>
      <xdr:rowOff>171450</xdr:rowOff>
    </xdr:from>
    <xdr:to>
      <xdr:col>13</xdr:col>
      <xdr:colOff>234950</xdr:colOff>
      <xdr:row>16</xdr:row>
      <xdr:rowOff>25400</xdr:rowOff>
    </xdr:to>
    <xdr:graphicFrame macro="">
      <xdr:nvGraphicFramePr>
        <xdr:cNvPr id="2" name="Chart 1">
          <a:extLst>
            <a:ext uri="{FF2B5EF4-FFF2-40B4-BE49-F238E27FC236}">
              <a16:creationId xmlns:a16="http://schemas.microsoft.com/office/drawing/2014/main" id="{2EE1B282-9C17-BEF1-9422-4CB8D7D4B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450850</xdr:colOff>
      <xdr:row>4</xdr:row>
      <xdr:rowOff>146050</xdr:rowOff>
    </xdr:from>
    <xdr:to>
      <xdr:col>13</xdr:col>
      <xdr:colOff>571500</xdr:colOff>
      <xdr:row>12</xdr:row>
      <xdr:rowOff>158750</xdr:rowOff>
    </xdr:to>
    <xdr:graphicFrame macro="">
      <xdr:nvGraphicFramePr>
        <xdr:cNvPr id="2" name="Chart 1">
          <a:extLst>
            <a:ext uri="{FF2B5EF4-FFF2-40B4-BE49-F238E27FC236}">
              <a16:creationId xmlns:a16="http://schemas.microsoft.com/office/drawing/2014/main" id="{BC8B3AF7-B542-4F43-AB48-13BE90DC3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120650</xdr:rowOff>
    </xdr:from>
    <xdr:to>
      <xdr:col>6</xdr:col>
      <xdr:colOff>349250</xdr:colOff>
      <xdr:row>12</xdr:row>
      <xdr:rowOff>177800</xdr:rowOff>
    </xdr:to>
    <xdr:graphicFrame macro="">
      <xdr:nvGraphicFramePr>
        <xdr:cNvPr id="3" name="Chart 2">
          <a:extLst>
            <a:ext uri="{FF2B5EF4-FFF2-40B4-BE49-F238E27FC236}">
              <a16:creationId xmlns:a16="http://schemas.microsoft.com/office/drawing/2014/main" id="{6E10524C-AE39-4A2F-9884-F1BA80537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101600</xdr:rowOff>
    </xdr:from>
    <xdr:to>
      <xdr:col>6</xdr:col>
      <xdr:colOff>342900</xdr:colOff>
      <xdr:row>19</xdr:row>
      <xdr:rowOff>177800</xdr:rowOff>
    </xdr:to>
    <xdr:graphicFrame macro="">
      <xdr:nvGraphicFramePr>
        <xdr:cNvPr id="4" name="Chart 3">
          <a:extLst>
            <a:ext uri="{FF2B5EF4-FFF2-40B4-BE49-F238E27FC236}">
              <a16:creationId xmlns:a16="http://schemas.microsoft.com/office/drawing/2014/main" id="{94C65060-6162-4718-BCA8-2B75B228E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603250</xdr:colOff>
      <xdr:row>2</xdr:row>
      <xdr:rowOff>31750</xdr:rowOff>
    </xdr:from>
    <xdr:to>
      <xdr:col>17</xdr:col>
      <xdr:colOff>187200</xdr:colOff>
      <xdr:row>19</xdr:row>
      <xdr:rowOff>146050</xdr:rowOff>
    </xdr:to>
    <xdr:graphicFrame macro="">
      <xdr:nvGraphicFramePr>
        <xdr:cNvPr id="6" name="Chart 5">
          <a:extLst>
            <a:ext uri="{FF2B5EF4-FFF2-40B4-BE49-F238E27FC236}">
              <a16:creationId xmlns:a16="http://schemas.microsoft.com/office/drawing/2014/main" id="{6DB39A6E-7368-4717-9F31-F29924EEE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495300</xdr:colOff>
      <xdr:row>13</xdr:row>
      <xdr:rowOff>50800</xdr:rowOff>
    </xdr:from>
    <xdr:to>
      <xdr:col>13</xdr:col>
      <xdr:colOff>533400</xdr:colOff>
      <xdr:row>20</xdr:row>
      <xdr:rowOff>0</xdr:rowOff>
    </xdr:to>
    <xdr:graphicFrame macro="">
      <xdr:nvGraphicFramePr>
        <xdr:cNvPr id="7" name="Chart 6">
          <a:extLst>
            <a:ext uri="{FF2B5EF4-FFF2-40B4-BE49-F238E27FC236}">
              <a16:creationId xmlns:a16="http://schemas.microsoft.com/office/drawing/2014/main" id="{00D75223-0D3D-40F2-A264-F4B11BC30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279400</xdr:colOff>
      <xdr:row>10</xdr:row>
      <xdr:rowOff>177800</xdr:rowOff>
    </xdr:from>
    <xdr:to>
      <xdr:col>19</xdr:col>
      <xdr:colOff>248200</xdr:colOff>
      <xdr:row>19</xdr:row>
      <xdr:rowOff>69850</xdr:rowOff>
    </xdr:to>
    <mc:AlternateContent xmlns:mc="http://schemas.openxmlformats.org/markup-compatibility/2006" xmlns:a14="http://schemas.microsoft.com/office/drawing/2010/main">
      <mc:Choice Requires="a14">
        <xdr:graphicFrame macro="">
          <xdr:nvGraphicFramePr>
            <xdr:cNvPr id="10" name="airline">
              <a:extLst>
                <a:ext uri="{FF2B5EF4-FFF2-40B4-BE49-F238E27FC236}">
                  <a16:creationId xmlns:a16="http://schemas.microsoft.com/office/drawing/2014/main" id="{9CF70866-1C43-3856-7B89-C3D341E89623}"/>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10642600" y="1943100"/>
              <a:ext cx="1188000" cy="154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215900</xdr:colOff>
      <xdr:row>2</xdr:row>
      <xdr:rowOff>57150</xdr:rowOff>
    </xdr:from>
    <xdr:to>
      <xdr:col>19</xdr:col>
      <xdr:colOff>184700</xdr:colOff>
      <xdr:row>10</xdr:row>
      <xdr:rowOff>95950</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18947BB9-1193-B1BB-D352-9F89B59654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79100" y="349250"/>
              <a:ext cx="1188000" cy="15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3</xdr:row>
      <xdr:rowOff>69850</xdr:rowOff>
    </xdr:from>
    <xdr:to>
      <xdr:col>1</xdr:col>
      <xdr:colOff>552450</xdr:colOff>
      <xdr:row>4</xdr:row>
      <xdr:rowOff>101600</xdr:rowOff>
    </xdr:to>
    <xdr:sp macro="" textlink="DATA!I3">
      <xdr:nvSpPr>
        <xdr:cNvPr id="14" name="TextBox 13">
          <a:extLst>
            <a:ext uri="{FF2B5EF4-FFF2-40B4-BE49-F238E27FC236}">
              <a16:creationId xmlns:a16="http://schemas.microsoft.com/office/drawing/2014/main" id="{309D33EB-8ECB-C5B7-A5FC-271989F133B0}"/>
            </a:ext>
          </a:extLst>
        </xdr:cNvPr>
        <xdr:cNvSpPr txBox="1"/>
      </xdr:nvSpPr>
      <xdr:spPr>
        <a:xfrm>
          <a:off x="19050" y="546100"/>
          <a:ext cx="1143000" cy="215900"/>
        </a:xfrm>
        <a:prstGeom prst="rect">
          <a:avLst/>
        </a:prstGeom>
        <a:solidFill>
          <a:schemeClr val="tx2">
            <a:lumMod val="75000"/>
            <a:lumOff val="2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7148E8-78A9-4E1B-8878-9B289422DEBA}" type="TxLink">
            <a:rPr lang="en-US" sz="1100" b="1" i="0" u="none" strike="noStrike">
              <a:solidFill>
                <a:schemeClr val="bg1"/>
              </a:solidFill>
              <a:latin typeface="Aptos Narrow"/>
            </a:rPr>
            <a:pPr/>
            <a:t>48840000</a:t>
          </a:fld>
          <a:endParaRPr lang="en-US" sz="1100" b="1" baseline="0">
            <a:solidFill>
              <a:schemeClr val="bg1"/>
            </a:solidFill>
          </a:endParaRPr>
        </a:p>
      </xdr:txBody>
    </xdr:sp>
    <xdr:clientData/>
  </xdr:twoCellAnchor>
  <xdr:twoCellAnchor>
    <xdr:from>
      <xdr:col>2</xdr:col>
      <xdr:colOff>63500</xdr:colOff>
      <xdr:row>3</xdr:row>
      <xdr:rowOff>69851</xdr:rowOff>
    </xdr:from>
    <xdr:to>
      <xdr:col>4</xdr:col>
      <xdr:colOff>546100</xdr:colOff>
      <xdr:row>4</xdr:row>
      <xdr:rowOff>114300</xdr:rowOff>
    </xdr:to>
    <xdr:sp macro="" textlink="DATA!I6">
      <xdr:nvSpPr>
        <xdr:cNvPr id="16" name="TextBox 15">
          <a:extLst>
            <a:ext uri="{FF2B5EF4-FFF2-40B4-BE49-F238E27FC236}">
              <a16:creationId xmlns:a16="http://schemas.microsoft.com/office/drawing/2014/main" id="{0237A9B2-0EDD-3784-EED0-78F678E2521A}"/>
            </a:ext>
          </a:extLst>
        </xdr:cNvPr>
        <xdr:cNvSpPr txBox="1"/>
      </xdr:nvSpPr>
      <xdr:spPr>
        <a:xfrm flipH="1">
          <a:off x="1282700" y="546101"/>
          <a:ext cx="1701800" cy="228599"/>
        </a:xfrm>
        <a:prstGeom prst="rect">
          <a:avLst/>
        </a:prstGeom>
        <a:solidFill>
          <a:schemeClr val="tx2">
            <a:lumMod val="75000"/>
            <a:lumOff val="2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F6BAE5-93EA-464A-AA45-8868A6C93022}" type="TxLink">
            <a:rPr lang="en-US" sz="1100" b="1" i="0" u="none" strike="noStrike">
              <a:solidFill>
                <a:schemeClr val="bg1"/>
              </a:solidFill>
              <a:latin typeface="Aptos Narrow"/>
              <a:ea typeface="+mn-ea"/>
              <a:cs typeface="+mn-cs"/>
            </a:rPr>
            <a:pPr marL="0" indent="0"/>
            <a:t>195</a:t>
          </a:fld>
          <a:endParaRPr lang="en-IN" sz="1100" b="1" i="0" u="none" strike="noStrike">
            <a:solidFill>
              <a:schemeClr val="bg1"/>
            </a:solidFill>
            <a:latin typeface="Aptos Narrow"/>
            <a:ea typeface="+mn-ea"/>
            <a:cs typeface="+mn-cs"/>
          </a:endParaRPr>
        </a:p>
      </xdr:txBody>
    </xdr:sp>
    <xdr:clientData/>
  </xdr:twoCellAnchor>
  <xdr:twoCellAnchor>
    <xdr:from>
      <xdr:col>0</xdr:col>
      <xdr:colOff>12700</xdr:colOff>
      <xdr:row>2</xdr:row>
      <xdr:rowOff>12700</xdr:rowOff>
    </xdr:from>
    <xdr:to>
      <xdr:col>1</xdr:col>
      <xdr:colOff>533400</xdr:colOff>
      <xdr:row>3</xdr:row>
      <xdr:rowOff>116550</xdr:rowOff>
    </xdr:to>
    <xdr:sp macro="" textlink="">
      <xdr:nvSpPr>
        <xdr:cNvPr id="17" name="Rectangle 16">
          <a:extLst>
            <a:ext uri="{FF2B5EF4-FFF2-40B4-BE49-F238E27FC236}">
              <a16:creationId xmlns:a16="http://schemas.microsoft.com/office/drawing/2014/main" id="{A56C5207-A77E-1B9C-1B49-544DD65D1008}"/>
            </a:ext>
          </a:extLst>
        </xdr:cNvPr>
        <xdr:cNvSpPr/>
      </xdr:nvSpPr>
      <xdr:spPr>
        <a:xfrm>
          <a:off x="12700" y="304800"/>
          <a:ext cx="1130300" cy="28800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Daily Loss </a:t>
          </a:r>
          <a:endParaRPr lang="en-IN" sz="1100" b="1"/>
        </a:p>
      </xdr:txBody>
    </xdr:sp>
    <xdr:clientData/>
  </xdr:twoCellAnchor>
  <xdr:oneCellAnchor>
    <xdr:from>
      <xdr:col>5</xdr:col>
      <xdr:colOff>50800</xdr:colOff>
      <xdr:row>3</xdr:row>
      <xdr:rowOff>50800</xdr:rowOff>
    </xdr:from>
    <xdr:ext cx="1771650" cy="247650"/>
    <xdr:sp macro="" textlink="DATA!I9">
      <xdr:nvSpPr>
        <xdr:cNvPr id="18" name="TextBox 17">
          <a:extLst>
            <a:ext uri="{FF2B5EF4-FFF2-40B4-BE49-F238E27FC236}">
              <a16:creationId xmlns:a16="http://schemas.microsoft.com/office/drawing/2014/main" id="{18292444-003C-41AD-F665-CDEC52D2619B}"/>
            </a:ext>
          </a:extLst>
        </xdr:cNvPr>
        <xdr:cNvSpPr txBox="1"/>
      </xdr:nvSpPr>
      <xdr:spPr>
        <a:xfrm>
          <a:off x="3098800" y="527050"/>
          <a:ext cx="1771650" cy="247650"/>
        </a:xfrm>
        <a:prstGeom prst="rect">
          <a:avLst/>
        </a:prstGeom>
        <a:solidFill>
          <a:schemeClr val="tx2">
            <a:lumMod val="75000"/>
            <a:lumOff val="2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EC6C9D-096A-4E0D-9D31-91E730D32546}" type="TxLink">
            <a:rPr lang="en-US" sz="1100" b="1" i="0" u="none" strike="noStrike">
              <a:solidFill>
                <a:schemeClr val="bg1"/>
              </a:solidFill>
              <a:latin typeface="Aptos Narrow"/>
              <a:ea typeface="+mn-ea"/>
              <a:cs typeface="+mn-cs"/>
            </a:rPr>
            <a:pPr marL="0" indent="0"/>
            <a:t>119570</a:t>
          </a:fld>
          <a:endParaRPr lang="en-IN" sz="1100" b="1" i="0" u="none" strike="noStrike">
            <a:solidFill>
              <a:schemeClr val="bg1"/>
            </a:solidFill>
            <a:latin typeface="Aptos Narrow"/>
            <a:ea typeface="+mn-ea"/>
            <a:cs typeface="+mn-cs"/>
          </a:endParaRPr>
        </a:p>
      </xdr:txBody>
    </xdr:sp>
    <xdr:clientData/>
  </xdr:oneCellAnchor>
  <xdr:oneCellAnchor>
    <xdr:from>
      <xdr:col>8</xdr:col>
      <xdr:colOff>146050</xdr:colOff>
      <xdr:row>3</xdr:row>
      <xdr:rowOff>50800</xdr:rowOff>
    </xdr:from>
    <xdr:ext cx="1860550" cy="258210"/>
    <xdr:sp macro="" textlink="DATA!I12">
      <xdr:nvSpPr>
        <xdr:cNvPr id="19" name="TextBox 18">
          <a:extLst>
            <a:ext uri="{FF2B5EF4-FFF2-40B4-BE49-F238E27FC236}">
              <a16:creationId xmlns:a16="http://schemas.microsoft.com/office/drawing/2014/main" id="{66D2D24D-81CA-18D2-0A2F-6C022E61AB01}"/>
            </a:ext>
          </a:extLst>
        </xdr:cNvPr>
        <xdr:cNvSpPr txBox="1"/>
      </xdr:nvSpPr>
      <xdr:spPr>
        <a:xfrm>
          <a:off x="5022850" y="527050"/>
          <a:ext cx="1860550" cy="258210"/>
        </a:xfrm>
        <a:prstGeom prst="rect">
          <a:avLst/>
        </a:prstGeom>
        <a:solidFill>
          <a:schemeClr val="tx2">
            <a:lumMod val="75000"/>
            <a:lumOff val="2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93AF62-0C49-48FA-8587-DC9CBC8DE4BF}" type="TxLink">
            <a:rPr lang="en-US" sz="1100" b="1" i="0" u="none" strike="noStrike">
              <a:solidFill>
                <a:schemeClr val="bg1"/>
              </a:solidFill>
              <a:latin typeface="Aptos Narrow"/>
              <a:ea typeface="+mn-ea"/>
              <a:cs typeface="+mn-cs"/>
            </a:rPr>
            <a:pPr marL="0" indent="0"/>
            <a:t>27606000</a:t>
          </a:fld>
          <a:endParaRPr lang="en-IN" sz="1100" b="1" i="0" u="none" strike="noStrike">
            <a:solidFill>
              <a:schemeClr val="bg1"/>
            </a:solidFill>
            <a:latin typeface="Aptos Narrow"/>
            <a:ea typeface="+mn-ea"/>
            <a:cs typeface="+mn-cs"/>
          </a:endParaRPr>
        </a:p>
      </xdr:txBody>
    </xdr:sp>
    <xdr:clientData/>
  </xdr:oneCellAnchor>
  <xdr:oneCellAnchor>
    <xdr:from>
      <xdr:col>11</xdr:col>
      <xdr:colOff>247650</xdr:colOff>
      <xdr:row>3</xdr:row>
      <xdr:rowOff>76200</xdr:rowOff>
    </xdr:from>
    <xdr:ext cx="1517650" cy="264560"/>
    <xdr:sp macro="" textlink="DATA!I15">
      <xdr:nvSpPr>
        <xdr:cNvPr id="20" name="TextBox 19">
          <a:extLst>
            <a:ext uri="{FF2B5EF4-FFF2-40B4-BE49-F238E27FC236}">
              <a16:creationId xmlns:a16="http://schemas.microsoft.com/office/drawing/2014/main" id="{AEE105A9-BD1F-FB95-9AE9-39DF0107115B}"/>
            </a:ext>
          </a:extLst>
        </xdr:cNvPr>
        <xdr:cNvSpPr txBox="1"/>
      </xdr:nvSpPr>
      <xdr:spPr>
        <a:xfrm>
          <a:off x="6953250" y="552450"/>
          <a:ext cx="1517650" cy="264560"/>
        </a:xfrm>
        <a:prstGeom prst="rect">
          <a:avLst/>
        </a:prstGeom>
        <a:solidFill>
          <a:schemeClr val="tx2">
            <a:lumMod val="75000"/>
            <a:lumOff val="2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FF588C-974F-4831-AD3C-2571830FDD4B}" type="TxLink">
            <a:rPr lang="en-US" sz="1100" b="1" i="0" u="none" strike="noStrike">
              <a:solidFill>
                <a:schemeClr val="bg1"/>
              </a:solidFill>
              <a:latin typeface="Aptos Narrow"/>
              <a:ea typeface="+mn-ea"/>
              <a:cs typeface="+mn-cs"/>
            </a:rPr>
            <a:pPr marL="0" indent="0"/>
            <a:t>754</a:t>
          </a:fld>
          <a:endParaRPr lang="en-IN" sz="1100" b="1" i="0" u="none" strike="noStrike">
            <a:solidFill>
              <a:schemeClr val="bg1"/>
            </a:solidFill>
            <a:latin typeface="Aptos Narrow"/>
            <a:ea typeface="+mn-ea"/>
            <a:cs typeface="+mn-cs"/>
          </a:endParaRPr>
        </a:p>
      </xdr:txBody>
    </xdr:sp>
    <xdr:clientData/>
  </xdr:oneCellAnchor>
  <xdr:twoCellAnchor>
    <xdr:from>
      <xdr:col>2</xdr:col>
      <xdr:colOff>57150</xdr:colOff>
      <xdr:row>2</xdr:row>
      <xdr:rowOff>19050</xdr:rowOff>
    </xdr:from>
    <xdr:to>
      <xdr:col>4</xdr:col>
      <xdr:colOff>552450</xdr:colOff>
      <xdr:row>3</xdr:row>
      <xdr:rowOff>57150</xdr:rowOff>
    </xdr:to>
    <xdr:sp macro="" textlink="">
      <xdr:nvSpPr>
        <xdr:cNvPr id="21" name="Rectangle 20">
          <a:extLst>
            <a:ext uri="{FF2B5EF4-FFF2-40B4-BE49-F238E27FC236}">
              <a16:creationId xmlns:a16="http://schemas.microsoft.com/office/drawing/2014/main" id="{15FC7908-3706-29AA-28EA-59F7D4A5D655}"/>
            </a:ext>
          </a:extLst>
        </xdr:cNvPr>
        <xdr:cNvSpPr/>
      </xdr:nvSpPr>
      <xdr:spPr>
        <a:xfrm>
          <a:off x="1276350" y="311150"/>
          <a:ext cx="1714500" cy="22225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Cancelled Flights</a:t>
          </a:r>
        </a:p>
      </xdr:txBody>
    </xdr:sp>
    <xdr:clientData/>
  </xdr:twoCellAnchor>
  <xdr:twoCellAnchor>
    <xdr:from>
      <xdr:col>5</xdr:col>
      <xdr:colOff>57150</xdr:colOff>
      <xdr:row>2</xdr:row>
      <xdr:rowOff>19050</xdr:rowOff>
    </xdr:from>
    <xdr:to>
      <xdr:col>7</xdr:col>
      <xdr:colOff>601950</xdr:colOff>
      <xdr:row>3</xdr:row>
      <xdr:rowOff>63500</xdr:rowOff>
    </xdr:to>
    <xdr:sp macro="" textlink="">
      <xdr:nvSpPr>
        <xdr:cNvPr id="22" name="Rectangle 21">
          <a:extLst>
            <a:ext uri="{FF2B5EF4-FFF2-40B4-BE49-F238E27FC236}">
              <a16:creationId xmlns:a16="http://schemas.microsoft.com/office/drawing/2014/main" id="{CA49DDC5-16EF-4A98-A1AA-3829FFD25B80}"/>
            </a:ext>
          </a:extLst>
        </xdr:cNvPr>
        <xdr:cNvSpPr/>
      </xdr:nvSpPr>
      <xdr:spPr>
        <a:xfrm>
          <a:off x="3105150" y="311150"/>
          <a:ext cx="1764000" cy="22860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Passengers Impacted</a:t>
          </a:r>
        </a:p>
      </xdr:txBody>
    </xdr:sp>
    <xdr:clientData/>
  </xdr:twoCellAnchor>
  <xdr:twoCellAnchor>
    <xdr:from>
      <xdr:col>11</xdr:col>
      <xdr:colOff>247650</xdr:colOff>
      <xdr:row>2</xdr:row>
      <xdr:rowOff>19050</xdr:rowOff>
    </xdr:from>
    <xdr:to>
      <xdr:col>13</xdr:col>
      <xdr:colOff>540450</xdr:colOff>
      <xdr:row>3</xdr:row>
      <xdr:rowOff>82700</xdr:rowOff>
    </xdr:to>
    <xdr:sp macro="" textlink="">
      <xdr:nvSpPr>
        <xdr:cNvPr id="23" name="Rectangle 22">
          <a:extLst>
            <a:ext uri="{FF2B5EF4-FFF2-40B4-BE49-F238E27FC236}">
              <a16:creationId xmlns:a16="http://schemas.microsoft.com/office/drawing/2014/main" id="{E2C1AA74-75A0-4AC5-8832-FDD3E24B6BE7}"/>
            </a:ext>
          </a:extLst>
        </xdr:cNvPr>
        <xdr:cNvSpPr/>
      </xdr:nvSpPr>
      <xdr:spPr>
        <a:xfrm>
          <a:off x="6953250" y="311150"/>
          <a:ext cx="1512000" cy="24780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Rerouted</a:t>
          </a:r>
          <a:r>
            <a:rPr lang="en-IN" sz="1100" baseline="0"/>
            <a:t> Flights</a:t>
          </a:r>
          <a:endParaRPr lang="en-IN" sz="1100"/>
        </a:p>
      </xdr:txBody>
    </xdr:sp>
    <xdr:clientData/>
  </xdr:twoCellAnchor>
  <xdr:twoCellAnchor>
    <xdr:from>
      <xdr:col>8</xdr:col>
      <xdr:colOff>120650</xdr:colOff>
      <xdr:row>2</xdr:row>
      <xdr:rowOff>19050</xdr:rowOff>
    </xdr:from>
    <xdr:to>
      <xdr:col>11</xdr:col>
      <xdr:colOff>165100</xdr:colOff>
      <xdr:row>3</xdr:row>
      <xdr:rowOff>57150</xdr:rowOff>
    </xdr:to>
    <xdr:sp macro="" textlink="">
      <xdr:nvSpPr>
        <xdr:cNvPr id="24" name="Rectangle 23">
          <a:extLst>
            <a:ext uri="{FF2B5EF4-FFF2-40B4-BE49-F238E27FC236}">
              <a16:creationId xmlns:a16="http://schemas.microsoft.com/office/drawing/2014/main" id="{0C3893AF-D3D7-460D-8FB0-9507D2A3971C}"/>
            </a:ext>
          </a:extLst>
        </xdr:cNvPr>
        <xdr:cNvSpPr/>
      </xdr:nvSpPr>
      <xdr:spPr>
        <a:xfrm>
          <a:off x="4997450" y="311150"/>
          <a:ext cx="1873250" cy="22225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Additional Fuel</a:t>
          </a:r>
          <a:r>
            <a:rPr lang="en-IN" sz="1100" b="1" baseline="0"/>
            <a:t> cost</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028tu" refreshedDate="46090.603788078704" createdVersion="8" refreshedVersion="8" minRefreshableVersion="3" recordCount="35" xr:uid="{59E70D00-0608-49E1-B1FE-A72E08A7A49C}">
  <cacheSource type="worksheet">
    <worksheetSource name="Table1"/>
  </cacheSource>
  <cacheFields count="7">
    <cacheField name="airline" numFmtId="0">
      <sharedItems count="35">
        <s v="Emirates"/>
        <s v="Qatar Airways"/>
        <s v="Etihad Airways"/>
        <s v="Turkish Airlines"/>
        <s v="British Airways"/>
        <s v="Lufthansa"/>
        <s v="Air France"/>
        <s v="KLM"/>
        <s v="Singapore Airlines"/>
        <s v="Cathay Pacific"/>
        <s v="Malaysia Airlines"/>
        <s v="Air India"/>
        <s v="PIA"/>
        <s v="Saudia"/>
        <s v="Gulf Air"/>
        <s v="Oman Air"/>
        <s v="flydubai"/>
        <s v="Korean Air"/>
        <s v="Asiana Airlines"/>
        <s v="Japan Airlines"/>
        <s v="ANA"/>
        <s v="Thai Airways"/>
        <s v="Aeroflot"/>
        <s v="El Al"/>
        <s v="Royal Jordanian"/>
        <s v="EgyptAir"/>
        <s v="Iberia"/>
        <s v="Austrian Airlines"/>
        <s v="Swiss International"/>
        <s v="SAS"/>
        <s v="Finnair"/>
        <s v="LOT Polish Airlines"/>
        <s v="China Eastern"/>
        <s v="China Southern"/>
        <s v="Air China"/>
      </sharedItems>
    </cacheField>
    <cacheField name="country" numFmtId="0">
      <sharedItems count="29">
        <s v="UAE"/>
        <s v="Qatar"/>
        <s v="Turkey"/>
        <s v="UK"/>
        <s v="Germany"/>
        <s v="France"/>
        <s v="Netherlands"/>
        <s v="Singapore"/>
        <s v="Hong Kong"/>
        <s v="Malaysia"/>
        <s v="India"/>
        <s v="Pakistan"/>
        <s v="Saudi Arabia"/>
        <s v="Bahrain"/>
        <s v="Oman"/>
        <s v="South Korea"/>
        <s v="Japan"/>
        <s v="Thailand"/>
        <s v="Russia"/>
        <s v="Israel"/>
        <s v="Jordan"/>
        <s v="Egypt"/>
        <s v="Spain"/>
        <s v="Austria"/>
        <s v="Switzerland"/>
        <s v="Scandinavia"/>
        <s v="Finland"/>
        <s v="Poland"/>
        <s v="China"/>
      </sharedItems>
    </cacheField>
    <cacheField name="estimated_daily_loss_usd" numFmtId="0">
      <sharedItems containsSemiMixedTypes="0" containsString="0" containsNumber="1" containsInteger="1" minValue="380000" maxValue="4200000"/>
    </cacheField>
    <cacheField name="cancelled_flights" numFmtId="0">
      <sharedItems containsSemiMixedTypes="0" containsString="0" containsNumber="1" containsInteger="1" minValue="2" maxValue="18"/>
    </cacheField>
    <cacheField name="rerouted_flights" numFmtId="0">
      <sharedItems containsSemiMixedTypes="0" containsString="0" containsNumber="1" containsInteger="1" minValue="0" maxValue="62"/>
    </cacheField>
    <cacheField name="additional_fuel_cost_usd" numFmtId="0">
      <sharedItems containsSemiMixedTypes="0" containsString="0" containsNumber="1" containsInteger="1" minValue="0" maxValue="2835200"/>
    </cacheField>
    <cacheField name="passengers_impacted" numFmtId="0">
      <sharedItems containsSemiMixedTypes="0" containsString="0" containsNumber="1" containsInteger="1" minValue="1020" maxValue="9180"/>
    </cacheField>
  </cacheFields>
  <extLst>
    <ext xmlns:x14="http://schemas.microsoft.com/office/spreadsheetml/2009/9/main" uri="{725AE2AE-9491-48be-B2B4-4EB974FC3084}">
      <x14:pivotCacheDefinition pivotCacheId="67828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4200000"/>
    <n v="18"/>
    <n v="62"/>
    <n v="2835200"/>
    <n v="9180"/>
  </r>
  <r>
    <x v="1"/>
    <x v="1"/>
    <n v="3100000"/>
    <n v="12"/>
    <n v="41"/>
    <n v="1765800"/>
    <n v="6540"/>
  </r>
  <r>
    <x v="2"/>
    <x v="0"/>
    <n v="1800000"/>
    <n v="8"/>
    <n v="29"/>
    <n v="1023400"/>
    <n v="4320"/>
  </r>
  <r>
    <x v="3"/>
    <x v="2"/>
    <n v="2400000"/>
    <n v="14"/>
    <n v="38"/>
    <n v="1432600"/>
    <n v="7700"/>
  </r>
  <r>
    <x v="4"/>
    <x v="3"/>
    <n v="1950000"/>
    <n v="6"/>
    <n v="32"/>
    <n v="1185600"/>
    <n v="4680"/>
  </r>
  <r>
    <x v="5"/>
    <x v="4"/>
    <n v="1650000"/>
    <n v="5"/>
    <n v="28"/>
    <n v="988000"/>
    <n v="3950"/>
  </r>
  <r>
    <x v="6"/>
    <x v="5"/>
    <n v="1420000"/>
    <n v="4"/>
    <n v="25"/>
    <n v="856000"/>
    <n v="3400"/>
  </r>
  <r>
    <x v="7"/>
    <x v="6"/>
    <n v="1180000"/>
    <n v="3"/>
    <n v="21"/>
    <n v="702800"/>
    <n v="2800"/>
  </r>
  <r>
    <x v="8"/>
    <x v="7"/>
    <n v="2100000"/>
    <n v="7"/>
    <n v="35"/>
    <n v="1274000"/>
    <n v="5110"/>
  </r>
  <r>
    <x v="9"/>
    <x v="8"/>
    <n v="1870000"/>
    <n v="6"/>
    <n v="31"/>
    <n v="1120600"/>
    <n v="4560"/>
  </r>
  <r>
    <x v="10"/>
    <x v="9"/>
    <n v="1340000"/>
    <n v="4"/>
    <n v="23"/>
    <n v="806200"/>
    <n v="3220"/>
  </r>
  <r>
    <x v="11"/>
    <x v="10"/>
    <n v="1560000"/>
    <n v="5"/>
    <n v="26"/>
    <n v="916800"/>
    <n v="3760"/>
  </r>
  <r>
    <x v="12"/>
    <x v="11"/>
    <n v="820000"/>
    <n v="6"/>
    <n v="15"/>
    <n v="520400"/>
    <n v="2460"/>
  </r>
  <r>
    <x v="13"/>
    <x v="12"/>
    <n v="1240000"/>
    <n v="9"/>
    <n v="18"/>
    <n v="648000"/>
    <n v="4320"/>
  </r>
  <r>
    <x v="14"/>
    <x v="13"/>
    <n v="680000"/>
    <n v="5"/>
    <n v="12"/>
    <n v="424000"/>
    <n v="2240"/>
  </r>
  <r>
    <x v="15"/>
    <x v="14"/>
    <n v="590000"/>
    <n v="4"/>
    <n v="11"/>
    <n v="374000"/>
    <n v="1960"/>
  </r>
  <r>
    <x v="16"/>
    <x v="0"/>
    <n v="680000"/>
    <n v="7"/>
    <n v="13"/>
    <n v="470000"/>
    <n v="2800"/>
  </r>
  <r>
    <x v="17"/>
    <x v="15"/>
    <n v="1650000"/>
    <n v="5"/>
    <n v="26"/>
    <n v="925800"/>
    <n v="3750"/>
  </r>
  <r>
    <x v="18"/>
    <x v="15"/>
    <n v="1120000"/>
    <n v="4"/>
    <n v="19"/>
    <n v="652000"/>
    <n v="2680"/>
  </r>
  <r>
    <x v="19"/>
    <x v="16"/>
    <n v="1480000"/>
    <n v="5"/>
    <n v="24"/>
    <n v="840000"/>
    <n v="3360"/>
  </r>
  <r>
    <x v="20"/>
    <x v="16"/>
    <n v="1350000"/>
    <n v="4"/>
    <n v="22"/>
    <n v="768000"/>
    <n v="3080"/>
  </r>
  <r>
    <x v="21"/>
    <x v="17"/>
    <n v="1020000"/>
    <n v="3"/>
    <n v="18"/>
    <n v="624000"/>
    <n v="2700"/>
  </r>
  <r>
    <x v="22"/>
    <x v="18"/>
    <n v="1180000"/>
    <n v="6"/>
    <n v="22"/>
    <n v="780000"/>
    <n v="4040"/>
  </r>
  <r>
    <x v="23"/>
    <x v="19"/>
    <n v="2800000"/>
    <n v="12"/>
    <n v="0"/>
    <n v="0"/>
    <n v="3980"/>
  </r>
  <r>
    <x v="24"/>
    <x v="20"/>
    <n v="420000"/>
    <n v="3"/>
    <n v="8"/>
    <n v="272000"/>
    <n v="1140"/>
  </r>
  <r>
    <x v="25"/>
    <x v="21"/>
    <n v="380000"/>
    <n v="2"/>
    <n v="7"/>
    <n v="234000"/>
    <n v="1020"/>
  </r>
  <r>
    <x v="26"/>
    <x v="22"/>
    <n v="940000"/>
    <n v="3"/>
    <n v="16"/>
    <n v="558000"/>
    <n v="2280"/>
  </r>
  <r>
    <x v="27"/>
    <x v="23"/>
    <n v="620000"/>
    <n v="2"/>
    <n v="11"/>
    <n v="376000"/>
    <n v="1540"/>
  </r>
  <r>
    <x v="28"/>
    <x v="24"/>
    <n v="710000"/>
    <n v="2"/>
    <n v="12"/>
    <n v="412000"/>
    <n v="1680"/>
  </r>
  <r>
    <x v="29"/>
    <x v="25"/>
    <n v="680000"/>
    <n v="2"/>
    <n v="11"/>
    <n v="376800"/>
    <n v="1540"/>
  </r>
  <r>
    <x v="30"/>
    <x v="26"/>
    <n v="540000"/>
    <n v="2"/>
    <n v="9"/>
    <n v="312000"/>
    <n v="1260"/>
  </r>
  <r>
    <x v="31"/>
    <x v="27"/>
    <n v="480000"/>
    <n v="2"/>
    <n v="8"/>
    <n v="276000"/>
    <n v="1120"/>
  </r>
  <r>
    <x v="32"/>
    <x v="28"/>
    <n v="1620000"/>
    <n v="5"/>
    <n v="27"/>
    <n v="952000"/>
    <n v="3780"/>
  </r>
  <r>
    <x v="33"/>
    <x v="28"/>
    <n v="1590000"/>
    <n v="5"/>
    <n v="26"/>
    <n v="924000"/>
    <n v="3700"/>
  </r>
  <r>
    <x v="34"/>
    <x v="28"/>
    <n v="1680000"/>
    <n v="5"/>
    <n v="28"/>
    <n v="980000"/>
    <n v="39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AA17A2-8E21-4DC6-8732-C58F10F558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7">
    <pivotField axis="axisRow" showAll="0" measureFilter="1" sortType="descending">
      <items count="36">
        <item x="22"/>
        <item x="34"/>
        <item x="6"/>
        <item x="11"/>
        <item x="20"/>
        <item x="18"/>
        <item x="27"/>
        <item x="4"/>
        <item x="9"/>
        <item x="32"/>
        <item x="33"/>
        <item x="25"/>
        <item x="23"/>
        <item x="0"/>
        <item x="2"/>
        <item x="30"/>
        <item x="16"/>
        <item x="14"/>
        <item x="26"/>
        <item x="19"/>
        <item x="7"/>
        <item x="17"/>
        <item x="31"/>
        <item x="5"/>
        <item x="10"/>
        <item x="15"/>
        <item x="12"/>
        <item x="1"/>
        <item x="24"/>
        <item x="29"/>
        <item x="13"/>
        <item x="8"/>
        <item x="28"/>
        <item x="21"/>
        <item x="3"/>
        <item t="default"/>
      </items>
      <autoSortScope>
        <pivotArea dataOnly="0" outline="0" fieldPosition="0">
          <references count="1">
            <reference field="4294967294" count="1" selected="0">
              <x v="0"/>
            </reference>
          </references>
        </pivotArea>
      </autoSortScope>
    </pivotField>
    <pivotField showAll="0">
      <items count="30">
        <item x="23"/>
        <item x="13"/>
        <item x="28"/>
        <item x="21"/>
        <item x="26"/>
        <item x="5"/>
        <item x="4"/>
        <item x="8"/>
        <item x="10"/>
        <item x="19"/>
        <item x="16"/>
        <item x="20"/>
        <item x="9"/>
        <item x="6"/>
        <item x="14"/>
        <item x="11"/>
        <item x="27"/>
        <item x="1"/>
        <item x="18"/>
        <item x="12"/>
        <item x="25"/>
        <item x="7"/>
        <item x="15"/>
        <item x="22"/>
        <item x="24"/>
        <item x="17"/>
        <item x="2"/>
        <item x="0"/>
        <item x="3"/>
        <item t="default"/>
      </items>
    </pivotField>
    <pivotField dataField="1" showAll="0"/>
    <pivotField showAll="0"/>
    <pivotField showAll="0"/>
    <pivotField showAll="0"/>
    <pivotField showAll="0"/>
  </pivotFields>
  <rowFields count="1">
    <field x="0"/>
  </rowFields>
  <rowItems count="6">
    <i>
      <x v="13"/>
    </i>
    <i>
      <x v="27"/>
    </i>
    <i>
      <x v="12"/>
    </i>
    <i>
      <x v="34"/>
    </i>
    <i>
      <x v="31"/>
    </i>
    <i t="grand">
      <x/>
    </i>
  </rowItems>
  <colItems count="1">
    <i/>
  </colItems>
  <dataFields count="1">
    <dataField name="Sum of estimated_daily_loss_usd" fld="2"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E82A1F-BD06-4F1B-8994-AEB8B426CA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B14" firstHeaderRow="1" firstDataRow="1" firstDataCol="1"/>
  <pivotFields count="7">
    <pivotField axis="axisRow" showAll="0" measureFilter="1" sortType="ascending">
      <items count="36">
        <item x="22"/>
        <item x="34"/>
        <item x="6"/>
        <item x="11"/>
        <item x="20"/>
        <item x="18"/>
        <item x="27"/>
        <item x="4"/>
        <item x="9"/>
        <item x="32"/>
        <item x="33"/>
        <item x="25"/>
        <item x="23"/>
        <item x="0"/>
        <item x="2"/>
        <item x="30"/>
        <item x="16"/>
        <item x="14"/>
        <item x="26"/>
        <item x="19"/>
        <item x="7"/>
        <item x="17"/>
        <item x="31"/>
        <item x="5"/>
        <item x="10"/>
        <item x="15"/>
        <item x="12"/>
        <item x="1"/>
        <item x="24"/>
        <item x="29"/>
        <item x="13"/>
        <item x="8"/>
        <item x="28"/>
        <item x="21"/>
        <item x="3"/>
        <item t="default"/>
      </items>
      <autoSortScope>
        <pivotArea dataOnly="0" outline="0" fieldPosition="0">
          <references count="1">
            <reference field="4294967294" count="1" selected="0">
              <x v="0"/>
            </reference>
          </references>
        </pivotArea>
      </autoSortScope>
    </pivotField>
    <pivotField showAll="0">
      <items count="30">
        <item x="23"/>
        <item x="13"/>
        <item x="28"/>
        <item x="21"/>
        <item x="26"/>
        <item x="5"/>
        <item x="4"/>
        <item x="8"/>
        <item x="10"/>
        <item x="19"/>
        <item x="16"/>
        <item x="20"/>
        <item x="9"/>
        <item x="6"/>
        <item x="14"/>
        <item x="11"/>
        <item x="27"/>
        <item x="1"/>
        <item x="18"/>
        <item x="12"/>
        <item x="25"/>
        <item x="7"/>
        <item x="15"/>
        <item x="22"/>
        <item x="24"/>
        <item x="17"/>
        <item x="2"/>
        <item x="0"/>
        <item x="3"/>
        <item t="default"/>
      </items>
    </pivotField>
    <pivotField showAll="0"/>
    <pivotField dataField="1" showAll="0"/>
    <pivotField showAll="0"/>
    <pivotField showAll="0"/>
    <pivotField showAll="0"/>
  </pivotFields>
  <rowFields count="1">
    <field x="0"/>
  </rowFields>
  <rowItems count="13">
    <i>
      <x v="8"/>
    </i>
    <i>
      <x/>
    </i>
    <i>
      <x v="7"/>
    </i>
    <i>
      <x v="26"/>
    </i>
    <i>
      <x v="16"/>
    </i>
    <i>
      <x v="31"/>
    </i>
    <i>
      <x v="14"/>
    </i>
    <i>
      <x v="30"/>
    </i>
    <i>
      <x v="12"/>
    </i>
    <i>
      <x v="27"/>
    </i>
    <i>
      <x v="34"/>
    </i>
    <i>
      <x v="13"/>
    </i>
    <i t="grand">
      <x/>
    </i>
  </rowItems>
  <colItems count="1">
    <i/>
  </colItems>
  <dataFields count="1">
    <dataField name="Sum of cancelled_flights" fld="3" baseField="0" baseItem="31"/>
  </dataFields>
  <chartFormats count="15">
    <chartFormat chart="7" format="0"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0" count="1" selected="0">
            <x v="8"/>
          </reference>
        </references>
      </pivotArea>
    </chartFormat>
    <chartFormat chart="9" format="16">
      <pivotArea type="data" outline="0" fieldPosition="0">
        <references count="2">
          <reference field="4294967294" count="1" selected="0">
            <x v="0"/>
          </reference>
          <reference field="0" count="1" selected="0">
            <x v="0"/>
          </reference>
        </references>
      </pivotArea>
    </chartFormat>
    <chartFormat chart="9" format="17">
      <pivotArea type="data" outline="0" fieldPosition="0">
        <references count="2">
          <reference field="4294967294" count="1" selected="0">
            <x v="0"/>
          </reference>
          <reference field="0" count="1" selected="0">
            <x v="7"/>
          </reference>
        </references>
      </pivotArea>
    </chartFormat>
    <chartFormat chart="9" format="18">
      <pivotArea type="data" outline="0" fieldPosition="0">
        <references count="2">
          <reference field="4294967294" count="1" selected="0">
            <x v="0"/>
          </reference>
          <reference field="0" count="1" selected="0">
            <x v="26"/>
          </reference>
        </references>
      </pivotArea>
    </chartFormat>
    <chartFormat chart="9" format="19">
      <pivotArea type="data" outline="0" fieldPosition="0">
        <references count="2">
          <reference field="4294967294" count="1" selected="0">
            <x v="0"/>
          </reference>
          <reference field="0" count="1" selected="0">
            <x v="16"/>
          </reference>
        </references>
      </pivotArea>
    </chartFormat>
    <chartFormat chart="9" format="20">
      <pivotArea type="data" outline="0" fieldPosition="0">
        <references count="2">
          <reference field="4294967294" count="1" selected="0">
            <x v="0"/>
          </reference>
          <reference field="0" count="1" selected="0">
            <x v="31"/>
          </reference>
        </references>
      </pivotArea>
    </chartFormat>
    <chartFormat chart="9" format="21">
      <pivotArea type="data" outline="0" fieldPosition="0">
        <references count="2">
          <reference field="4294967294" count="1" selected="0">
            <x v="0"/>
          </reference>
          <reference field="0" count="1" selected="0">
            <x v="14"/>
          </reference>
        </references>
      </pivotArea>
    </chartFormat>
    <chartFormat chart="9" format="22">
      <pivotArea type="data" outline="0" fieldPosition="0">
        <references count="2">
          <reference field="4294967294" count="1" selected="0">
            <x v="0"/>
          </reference>
          <reference field="0" count="1" selected="0">
            <x v="30"/>
          </reference>
        </references>
      </pivotArea>
    </chartFormat>
    <chartFormat chart="9" format="23">
      <pivotArea type="data" outline="0" fieldPosition="0">
        <references count="2">
          <reference field="4294967294" count="1" selected="0">
            <x v="0"/>
          </reference>
          <reference field="0" count="1" selected="0">
            <x v="12"/>
          </reference>
        </references>
      </pivotArea>
    </chartFormat>
    <chartFormat chart="9" format="24">
      <pivotArea type="data" outline="0" fieldPosition="0">
        <references count="2">
          <reference field="4294967294" count="1" selected="0">
            <x v="0"/>
          </reference>
          <reference field="0" count="1" selected="0">
            <x v="27"/>
          </reference>
        </references>
      </pivotArea>
    </chartFormat>
    <chartFormat chart="9" format="25">
      <pivotArea type="data" outline="0" fieldPosition="0">
        <references count="2">
          <reference field="4294967294" count="1" selected="0">
            <x v="0"/>
          </reference>
          <reference field="0" count="1" selected="0">
            <x v="34"/>
          </reference>
        </references>
      </pivotArea>
    </chartFormat>
    <chartFormat chart="9" format="26">
      <pivotArea type="data" outline="0" fieldPosition="0">
        <references count="2">
          <reference field="4294967294" count="1" selected="0">
            <x v="0"/>
          </reference>
          <reference field="0" count="1" selected="0">
            <x v="13"/>
          </reference>
        </references>
      </pivotArea>
    </chartFormat>
    <chartFormat chart="7" format="1">
      <pivotArea type="data" outline="0" fieldPosition="0">
        <references count="2">
          <reference field="4294967294" count="1" selected="0">
            <x v="0"/>
          </reference>
          <reference field="0" count="1" selected="0">
            <x v="25"/>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2BE9A-82BB-4CF9-A8BF-DB7F3961B6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7" firstHeaderRow="1" firstDataRow="1" firstDataCol="1"/>
  <pivotFields count="7">
    <pivotField axis="axisRow" showAll="0" measureFilter="1">
      <items count="36">
        <item x="22"/>
        <item x="34"/>
        <item x="6"/>
        <item x="11"/>
        <item x="20"/>
        <item x="18"/>
        <item x="27"/>
        <item x="4"/>
        <item x="9"/>
        <item x="32"/>
        <item x="33"/>
        <item x="25"/>
        <item x="23"/>
        <item x="0"/>
        <item x="2"/>
        <item x="30"/>
        <item x="16"/>
        <item x="14"/>
        <item x="26"/>
        <item x="19"/>
        <item x="7"/>
        <item x="17"/>
        <item x="31"/>
        <item x="5"/>
        <item x="10"/>
        <item x="15"/>
        <item x="12"/>
        <item x="1"/>
        <item x="24"/>
        <item x="29"/>
        <item x="13"/>
        <item x="8"/>
        <item x="28"/>
        <item x="21"/>
        <item x="3"/>
        <item t="default"/>
      </items>
    </pivotField>
    <pivotField showAll="0">
      <items count="30">
        <item x="23"/>
        <item x="13"/>
        <item x="28"/>
        <item x="21"/>
        <item x="26"/>
        <item x="5"/>
        <item x="4"/>
        <item x="8"/>
        <item x="10"/>
        <item x="19"/>
        <item x="16"/>
        <item x="20"/>
        <item x="9"/>
        <item x="6"/>
        <item x="14"/>
        <item x="11"/>
        <item x="27"/>
        <item x="1"/>
        <item x="18"/>
        <item x="12"/>
        <item x="25"/>
        <item x="7"/>
        <item x="15"/>
        <item x="22"/>
        <item x="24"/>
        <item x="17"/>
        <item x="2"/>
        <item x="0"/>
        <item x="3"/>
        <item t="default"/>
      </items>
    </pivotField>
    <pivotField showAll="0"/>
    <pivotField showAll="0"/>
    <pivotField showAll="0"/>
    <pivotField showAll="0"/>
    <pivotField dataField="1" showAll="0"/>
  </pivotFields>
  <rowFields count="1">
    <field x="0"/>
  </rowFields>
  <rowItems count="6">
    <i>
      <x v="7"/>
    </i>
    <i>
      <x v="13"/>
    </i>
    <i>
      <x v="27"/>
    </i>
    <i>
      <x v="31"/>
    </i>
    <i>
      <x v="34"/>
    </i>
    <i t="grand">
      <x/>
    </i>
  </rowItems>
  <colItems count="1">
    <i/>
  </colItems>
  <dataFields count="1">
    <dataField name="Sum of passengers_impacted" fld="6"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557E10-C96B-4FE6-AF38-74AC33FDEA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7">
    <pivotField showAll="0">
      <items count="36">
        <item x="22"/>
        <item x="34"/>
        <item x="6"/>
        <item x="11"/>
        <item x="20"/>
        <item x="18"/>
        <item x="27"/>
        <item x="4"/>
        <item x="9"/>
        <item x="32"/>
        <item x="33"/>
        <item x="25"/>
        <item x="23"/>
        <item x="0"/>
        <item x="2"/>
        <item x="30"/>
        <item x="16"/>
        <item x="14"/>
        <item x="26"/>
        <item x="19"/>
        <item x="7"/>
        <item x="17"/>
        <item x="31"/>
        <item x="5"/>
        <item x="10"/>
        <item x="15"/>
        <item x="12"/>
        <item x="1"/>
        <item x="24"/>
        <item x="29"/>
        <item x="13"/>
        <item x="8"/>
        <item x="28"/>
        <item x="21"/>
        <item x="3"/>
        <item t="default"/>
      </items>
    </pivotField>
    <pivotField axis="axisRow" showAll="0" measureFilter="1">
      <items count="30">
        <item x="23"/>
        <item x="13"/>
        <item x="28"/>
        <item x="21"/>
        <item x="26"/>
        <item x="5"/>
        <item x="4"/>
        <item x="8"/>
        <item x="10"/>
        <item x="19"/>
        <item x="16"/>
        <item x="20"/>
        <item x="9"/>
        <item x="6"/>
        <item x="14"/>
        <item x="11"/>
        <item x="27"/>
        <item x="1"/>
        <item x="18"/>
        <item x="12"/>
        <item x="25"/>
        <item x="7"/>
        <item x="15"/>
        <item x="22"/>
        <item x="24"/>
        <item x="17"/>
        <item x="2"/>
        <item x="0"/>
        <item x="3"/>
        <item t="default"/>
      </items>
    </pivotField>
    <pivotField showAll="0"/>
    <pivotField showAll="0"/>
    <pivotField showAll="0"/>
    <pivotField showAll="0"/>
    <pivotField dataField="1" showAll="0"/>
  </pivotFields>
  <rowFields count="1">
    <field x="1"/>
  </rowFields>
  <rowItems count="6">
    <i>
      <x v="2"/>
    </i>
    <i>
      <x v="10"/>
    </i>
    <i>
      <x v="17"/>
    </i>
    <i>
      <x v="26"/>
    </i>
    <i>
      <x v="27"/>
    </i>
    <i t="grand">
      <x/>
    </i>
  </rowItems>
  <colItems count="1">
    <i/>
  </colItems>
  <dataFields count="1">
    <dataField name="Sum of passengers_impacted" fld="6" baseField="0" baseItem="0"/>
  </dataFields>
  <chartFormats count="8">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10"/>
          </reference>
        </references>
      </pivotArea>
    </chartFormat>
    <chartFormat chart="3" format="10">
      <pivotArea type="data" outline="0" fieldPosition="0">
        <references count="2">
          <reference field="4294967294" count="1" selected="0">
            <x v="0"/>
          </reference>
          <reference field="1" count="1" selected="0">
            <x v="17"/>
          </reference>
        </references>
      </pivotArea>
    </chartFormat>
    <chartFormat chart="3" format="11">
      <pivotArea type="data" outline="0" fieldPosition="0">
        <references count="2">
          <reference field="4294967294" count="1" selected="0">
            <x v="0"/>
          </reference>
          <reference field="1" count="1" selected="0">
            <x v="26"/>
          </reference>
        </references>
      </pivotArea>
    </chartFormat>
    <chartFormat chart="3" format="12">
      <pivotArea type="data" outline="0" fieldPosition="0">
        <references count="2">
          <reference field="4294967294" count="1" selected="0">
            <x v="0"/>
          </reference>
          <reference field="1" count="1" selected="0">
            <x v="27"/>
          </reference>
        </references>
      </pivotArea>
    </chartFormat>
    <chartFormat chart="1" format="1">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34080A-11C9-4DA5-B809-02B80201D6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14" firstHeaderRow="0" firstDataRow="1" firstDataCol="1"/>
  <pivotFields count="7">
    <pivotField axis="axisRow" showAll="0" measureFilter="1" sortType="descending">
      <items count="36">
        <item x="22"/>
        <item x="34"/>
        <item x="6"/>
        <item x="11"/>
        <item x="20"/>
        <item x="18"/>
        <item x="27"/>
        <item x="4"/>
        <item x="9"/>
        <item x="32"/>
        <item x="33"/>
        <item x="25"/>
        <item x="23"/>
        <item x="0"/>
        <item x="2"/>
        <item x="30"/>
        <item x="16"/>
        <item x="14"/>
        <item x="26"/>
        <item x="19"/>
        <item x="7"/>
        <item x="17"/>
        <item x="31"/>
        <item x="5"/>
        <item x="10"/>
        <item x="15"/>
        <item x="12"/>
        <item x="1"/>
        <item x="24"/>
        <item x="29"/>
        <item x="13"/>
        <item x="8"/>
        <item x="28"/>
        <item x="21"/>
        <item x="3"/>
        <item t="default"/>
      </items>
      <autoSortScope>
        <pivotArea dataOnly="0" outline="0" fieldPosition="0">
          <references count="1">
            <reference field="4294967294" count="1" selected="0">
              <x v="1"/>
            </reference>
          </references>
        </pivotArea>
      </autoSortScope>
    </pivotField>
    <pivotField showAll="0">
      <items count="30">
        <item x="23"/>
        <item x="13"/>
        <item x="28"/>
        <item x="21"/>
        <item x="26"/>
        <item x="5"/>
        <item x="4"/>
        <item x="8"/>
        <item x="10"/>
        <item x="19"/>
        <item x="16"/>
        <item x="20"/>
        <item x="9"/>
        <item x="6"/>
        <item x="14"/>
        <item x="11"/>
        <item x="27"/>
        <item x="1"/>
        <item x="18"/>
        <item x="12"/>
        <item x="25"/>
        <item x="7"/>
        <item x="15"/>
        <item x="22"/>
        <item x="24"/>
        <item x="17"/>
        <item x="2"/>
        <item x="0"/>
        <item x="3"/>
        <item t="default"/>
      </items>
    </pivotField>
    <pivotField showAll="0"/>
    <pivotField showAll="0"/>
    <pivotField dataField="1" showAll="0"/>
    <pivotField dataField="1" showAll="0"/>
    <pivotField showAll="0"/>
  </pivotFields>
  <rowFields count="1">
    <field x="0"/>
  </rowFields>
  <rowItems count="11">
    <i>
      <x v="13"/>
    </i>
    <i>
      <x v="27"/>
    </i>
    <i>
      <x v="34"/>
    </i>
    <i>
      <x v="31"/>
    </i>
    <i>
      <x v="7"/>
    </i>
    <i>
      <x v="8"/>
    </i>
    <i>
      <x v="14"/>
    </i>
    <i>
      <x v="1"/>
    </i>
    <i>
      <x v="23"/>
    </i>
    <i>
      <x v="9"/>
    </i>
    <i t="grand">
      <x/>
    </i>
  </rowItems>
  <colFields count="1">
    <field x="-2"/>
  </colFields>
  <colItems count="2">
    <i>
      <x/>
    </i>
    <i i="1">
      <x v="1"/>
    </i>
  </colItems>
  <dataFields count="2">
    <dataField name="Sum of additional_fuel_cost_usd" fld="5" baseField="0" baseItem="0"/>
    <dataField name="Sum of rerouted_flights" fld="4" baseField="0" baseItem="0"/>
  </dataFields>
  <chartFormats count="2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15" format="2">
      <pivotArea type="data" outline="0" fieldPosition="0">
        <references count="2">
          <reference field="4294967294" count="1" selected="0">
            <x v="1"/>
          </reference>
          <reference field="0" count="1" selected="0">
            <x v="27"/>
          </reference>
        </references>
      </pivotArea>
    </chartFormat>
    <chartFormat chart="15" format="3">
      <pivotArea type="data" outline="0" fieldPosition="0">
        <references count="2">
          <reference field="4294967294" count="1" selected="0">
            <x v="1"/>
          </reference>
          <reference field="0" count="1" selected="0">
            <x v="34"/>
          </reference>
        </references>
      </pivotArea>
    </chartFormat>
    <chartFormat chart="15" format="4">
      <pivotArea type="data" outline="0" fieldPosition="0">
        <references count="2">
          <reference field="4294967294" count="1" selected="0">
            <x v="1"/>
          </reference>
          <reference field="0" count="1" selected="0">
            <x v="31"/>
          </reference>
        </references>
      </pivotArea>
    </chartFormat>
    <chartFormat chart="15" format="5">
      <pivotArea type="data" outline="0" fieldPosition="0">
        <references count="2">
          <reference field="4294967294" count="1" selected="0">
            <x v="1"/>
          </reference>
          <reference field="0" count="1" selected="0">
            <x v="7"/>
          </reference>
        </references>
      </pivotArea>
    </chartFormat>
    <chartFormat chart="15" format="6">
      <pivotArea type="data" outline="0" fieldPosition="0">
        <references count="2">
          <reference field="4294967294" count="1" selected="0">
            <x v="1"/>
          </reference>
          <reference field="0" count="1" selected="0">
            <x v="8"/>
          </reference>
        </references>
      </pivotArea>
    </chartFormat>
    <chartFormat chart="15" format="7">
      <pivotArea type="data" outline="0" fieldPosition="0">
        <references count="2">
          <reference field="4294967294" count="1" selected="0">
            <x v="1"/>
          </reference>
          <reference field="0" count="1" selected="0">
            <x v="14"/>
          </reference>
        </references>
      </pivotArea>
    </chartFormat>
    <chartFormat chart="15" format="8">
      <pivotArea type="data" outline="0" fieldPosition="0">
        <references count="2">
          <reference field="4294967294" count="1" selected="0">
            <x v="1"/>
          </reference>
          <reference field="0" count="1" selected="0">
            <x v="1"/>
          </reference>
        </references>
      </pivotArea>
    </chartFormat>
    <chartFormat chart="15" format="9">
      <pivotArea type="data" outline="0" fieldPosition="0">
        <references count="2">
          <reference field="4294967294" count="1" selected="0">
            <x v="1"/>
          </reference>
          <reference field="0" count="1" selected="0">
            <x v="23"/>
          </reference>
        </references>
      </pivotArea>
    </chartFormat>
    <chartFormat chart="15" format="10">
      <pivotArea type="data" outline="0" fieldPosition="0">
        <references count="2">
          <reference field="4294967294" count="1" selected="0">
            <x v="1"/>
          </reference>
          <reference field="0" count="1" selected="0">
            <x v="13"/>
          </reference>
        </references>
      </pivotArea>
    </chartFormat>
    <chartFormat chart="21" format="6">
      <pivotArea type="data" outline="0" fieldPosition="0">
        <references count="2">
          <reference field="4294967294" count="1" selected="0">
            <x v="1"/>
          </reference>
          <reference field="0" count="1" selected="0">
            <x v="23"/>
          </reference>
        </references>
      </pivotArea>
    </chartFormat>
    <chartFormat chart="21" format="7">
      <pivotArea type="data" outline="0" fieldPosition="0">
        <references count="2">
          <reference field="4294967294" count="1" selected="0">
            <x v="1"/>
          </reference>
          <reference field="0" count="1" selected="0">
            <x v="9"/>
          </reference>
        </references>
      </pivotArea>
    </chartFormat>
    <chartFormat chart="21" format="8">
      <pivotArea type="data" outline="0" fieldPosition="0">
        <references count="2">
          <reference field="4294967294" count="1" selected="0">
            <x v="1"/>
          </reference>
          <reference field="0" count="1" selected="0">
            <x v="1"/>
          </reference>
        </references>
      </pivotArea>
    </chartFormat>
    <chartFormat chart="21" format="9">
      <pivotArea type="data" outline="0" fieldPosition="0">
        <references count="2">
          <reference field="4294967294" count="1" selected="0">
            <x v="1"/>
          </reference>
          <reference field="0" count="1" selected="0">
            <x v="14"/>
          </reference>
        </references>
      </pivotArea>
    </chartFormat>
    <chartFormat chart="21" format="10">
      <pivotArea type="data" outline="0" fieldPosition="0">
        <references count="2">
          <reference field="4294967294" count="1" selected="0">
            <x v="1"/>
          </reference>
          <reference field="0" count="1" selected="0">
            <x v="8"/>
          </reference>
        </references>
      </pivotArea>
    </chartFormat>
    <chartFormat chart="21" format="11">
      <pivotArea type="data" outline="0" fieldPosition="0">
        <references count="2">
          <reference field="4294967294" count="1" selected="0">
            <x v="1"/>
          </reference>
          <reference field="0" count="1" selected="0">
            <x v="31"/>
          </reference>
        </references>
      </pivotArea>
    </chartFormat>
    <chartFormat chart="21" format="12">
      <pivotArea type="data" outline="0" fieldPosition="0">
        <references count="2">
          <reference field="4294967294" count="1" selected="0">
            <x v="1"/>
          </reference>
          <reference field="0" count="1" selected="0">
            <x v="7"/>
          </reference>
        </references>
      </pivotArea>
    </chartFormat>
    <chartFormat chart="21" format="13">
      <pivotArea type="data" outline="0" fieldPosition="0">
        <references count="2">
          <reference field="4294967294" count="1" selected="0">
            <x v="1"/>
          </reference>
          <reference field="0" count="1" selected="0">
            <x v="34"/>
          </reference>
        </references>
      </pivotArea>
    </chartFormat>
    <chartFormat chart="21" format="14">
      <pivotArea type="data" outline="0" fieldPosition="0">
        <references count="2">
          <reference field="4294967294" count="1" selected="0">
            <x v="1"/>
          </reference>
          <reference field="0" count="1" selected="0">
            <x v="27"/>
          </reference>
        </references>
      </pivotArea>
    </chartFormat>
    <chartFormat chart="21" format="15">
      <pivotArea type="data" outline="0" fieldPosition="0">
        <references count="2">
          <reference field="4294967294" count="1" selected="0">
            <x v="1"/>
          </reference>
          <reference field="0" count="1" selected="0">
            <x v="13"/>
          </reference>
        </references>
      </pivotArea>
    </chartFormat>
    <chartFormat chart="15" format="11">
      <pivotArea type="data" outline="0" fieldPosition="0">
        <references count="2">
          <reference field="4294967294" count="1" selected="0">
            <x v="1"/>
          </reference>
          <reference field="0" count="1" selected="0">
            <x v="25"/>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134F1ECA-32A9-44A6-909A-FD436C0B62AA}" sourceName="airline">
  <pivotTables>
    <pivotTable tabId="4" name="PivotTable2"/>
    <pivotTable tabId="6" name="PivotTable4"/>
    <pivotTable tabId="2" name="PivotTable1"/>
    <pivotTable tabId="7" name="PivotTable5"/>
    <pivotTable tabId="5" name="PivotTable3"/>
  </pivotTables>
  <data>
    <tabular pivotCacheId="67828238">
      <items count="35">
        <i x="22" s="1"/>
        <i x="34" s="1"/>
        <i x="6" s="1"/>
        <i x="11" s="1"/>
        <i x="20" s="1"/>
        <i x="18" s="1"/>
        <i x="27" s="1"/>
        <i x="4" s="1"/>
        <i x="9" s="1"/>
        <i x="32" s="1"/>
        <i x="33" s="1"/>
        <i x="25" s="1"/>
        <i x="23" s="1"/>
        <i x="0" s="1"/>
        <i x="2" s="1"/>
        <i x="30" s="1"/>
        <i x="16" s="1"/>
        <i x="14" s="1"/>
        <i x="26" s="1"/>
        <i x="19" s="1"/>
        <i x="7" s="1"/>
        <i x="17" s="1"/>
        <i x="31" s="1"/>
        <i x="5" s="1"/>
        <i x="10" s="1"/>
        <i x="15" s="1"/>
        <i x="12" s="1"/>
        <i x="1" s="1"/>
        <i x="24" s="1"/>
        <i x="29" s="1"/>
        <i x="13" s="1"/>
        <i x="8" s="1"/>
        <i x="28" s="1"/>
        <i x="2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2ED6F4-C442-4E31-B071-C9BB220EA817}" sourceName="country">
  <pivotTables>
    <pivotTable tabId="4" name="PivotTable2"/>
    <pivotTable tabId="6" name="PivotTable4"/>
    <pivotTable tabId="2" name="PivotTable1"/>
    <pivotTable tabId="7" name="PivotTable5"/>
    <pivotTable tabId="5" name="PivotTable3"/>
  </pivotTables>
  <data>
    <tabular pivotCacheId="67828238">
      <items count="29">
        <i x="23" s="1"/>
        <i x="13" s="1"/>
        <i x="28" s="1"/>
        <i x="21" s="1"/>
        <i x="26" s="1"/>
        <i x="5" s="1"/>
        <i x="4" s="1"/>
        <i x="8" s="1"/>
        <i x="10" s="1"/>
        <i x="19" s="1"/>
        <i x="16" s="1"/>
        <i x="20" s="1"/>
        <i x="9" s="1"/>
        <i x="6" s="1"/>
        <i x="14" s="1"/>
        <i x="11" s="1"/>
        <i x="27" s="1"/>
        <i x="1" s="1"/>
        <i x="18" s="1"/>
        <i x="12" s="1"/>
        <i x="25" s="1"/>
        <i x="7" s="1"/>
        <i x="15" s="1"/>
        <i x="22" s="1"/>
        <i x="24" s="1"/>
        <i x="17"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8F24F66F-A6C0-4E5C-87A0-D8877E5B3C7A}" cache="Slicer_airline" caption="Airline" startItem="16" style="SlicerStyleDark4" rowHeight="251883"/>
  <slicer name="country" xr10:uid="{127405C2-9C35-41F8-BADE-074A868946A1}" cache="Slicer_country" caption="Country" startItem="12"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918503-F324-4ECE-9336-747625811F95}" name="Table1" displayName="Table1" ref="A1:G36" totalsRowShown="0">
  <autoFilter ref="A1:G36" xr:uid="{44918503-F324-4ECE-9336-747625811F95}"/>
  <tableColumns count="7">
    <tableColumn id="1" xr3:uid="{885B17F3-0ED6-4658-BE79-4C7AF1F74DDA}" name="airline"/>
    <tableColumn id="2" xr3:uid="{508AC0EE-C990-44F3-97E3-B4C77149C28C}" name="country"/>
    <tableColumn id="3" xr3:uid="{64194EB3-829C-4A86-8CCD-9686EBF25697}" name="estimated_daily_loss_usd"/>
    <tableColumn id="4" xr3:uid="{EF3738C5-43F8-4BD4-85B4-5FC2C67EB686}" name="cancelled_flights"/>
    <tableColumn id="5" xr3:uid="{77B29CF1-712E-4CA7-8914-03FDE2A685B0}" name="rerouted_flights"/>
    <tableColumn id="6" xr3:uid="{24305C08-3D1C-46EF-9FCB-CCF09E5B2D8F}" name="additional_fuel_cost_usd"/>
    <tableColumn id="7" xr3:uid="{5607FF5A-FB2B-4704-8F4F-D9B643276FD1}" name="passengers_impa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8796-3714-458F-854B-DF6215DCE42A}">
  <sheetPr>
    <tabColor theme="5" tint="-0.499984740745262"/>
  </sheetPr>
  <dimension ref="A1:I36"/>
  <sheetViews>
    <sheetView workbookViewId="0">
      <selection activeCell="I3" sqref="I3"/>
    </sheetView>
  </sheetViews>
  <sheetFormatPr defaultRowHeight="14.5" x14ac:dyDescent="0.35"/>
  <cols>
    <col min="1" max="1" width="16.08984375" bestFit="1" customWidth="1"/>
    <col min="2" max="2" width="10.81640625" bestFit="1" customWidth="1"/>
    <col min="3" max="3" width="24.26953125" customWidth="1"/>
    <col min="4" max="4" width="17.1796875" customWidth="1"/>
    <col min="5" max="5" width="16" customWidth="1"/>
    <col min="6" max="6" width="23.7265625" customWidth="1"/>
    <col min="7" max="7" width="21.08984375" customWidth="1"/>
    <col min="9" max="9" width="22.81640625" bestFit="1" customWidth="1"/>
  </cols>
  <sheetData>
    <row r="1" spans="1:9" x14ac:dyDescent="0.35">
      <c r="A1" t="s">
        <v>0</v>
      </c>
      <c r="B1" t="s">
        <v>1</v>
      </c>
      <c r="C1" t="s">
        <v>2</v>
      </c>
      <c r="D1" t="s">
        <v>3</v>
      </c>
      <c r="E1" t="s">
        <v>4</v>
      </c>
      <c r="F1" t="s">
        <v>5</v>
      </c>
      <c r="G1" t="s">
        <v>6</v>
      </c>
    </row>
    <row r="2" spans="1:9" x14ac:dyDescent="0.35">
      <c r="A2" t="s">
        <v>7</v>
      </c>
      <c r="B2" t="s">
        <v>8</v>
      </c>
      <c r="C2">
        <v>4200000</v>
      </c>
      <c r="D2">
        <v>18</v>
      </c>
      <c r="E2">
        <v>62</v>
      </c>
      <c r="F2">
        <v>2835200</v>
      </c>
      <c r="G2">
        <v>9180</v>
      </c>
      <c r="I2" s="5" t="s">
        <v>79</v>
      </c>
    </row>
    <row r="3" spans="1:9" x14ac:dyDescent="0.35">
      <c r="A3" t="s">
        <v>9</v>
      </c>
      <c r="B3" t="s">
        <v>10</v>
      </c>
      <c r="C3">
        <v>3100000</v>
      </c>
      <c r="D3">
        <v>12</v>
      </c>
      <c r="E3">
        <v>41</v>
      </c>
      <c r="F3">
        <v>1765800</v>
      </c>
      <c r="G3">
        <v>6540</v>
      </c>
      <c r="I3">
        <f>SUM(Table1[[#All],[estimated_daily_loss_usd]])</f>
        <v>48840000</v>
      </c>
    </row>
    <row r="4" spans="1:9" x14ac:dyDescent="0.35">
      <c r="A4" t="s">
        <v>11</v>
      </c>
      <c r="B4" t="s">
        <v>8</v>
      </c>
      <c r="C4">
        <v>1800000</v>
      </c>
      <c r="D4">
        <v>8</v>
      </c>
      <c r="E4">
        <v>29</v>
      </c>
      <c r="F4">
        <v>1023400</v>
      </c>
      <c r="G4">
        <v>4320</v>
      </c>
    </row>
    <row r="5" spans="1:9" x14ac:dyDescent="0.35">
      <c r="A5" t="s">
        <v>12</v>
      </c>
      <c r="B5" t="s">
        <v>13</v>
      </c>
      <c r="C5">
        <v>2400000</v>
      </c>
      <c r="D5">
        <v>14</v>
      </c>
      <c r="E5">
        <v>38</v>
      </c>
      <c r="F5">
        <v>1432600</v>
      </c>
      <c r="G5">
        <v>7700</v>
      </c>
      <c r="I5" s="5" t="s">
        <v>80</v>
      </c>
    </row>
    <row r="6" spans="1:9" x14ac:dyDescent="0.35">
      <c r="A6" t="s">
        <v>14</v>
      </c>
      <c r="B6" t="s">
        <v>15</v>
      </c>
      <c r="C6">
        <v>1950000</v>
      </c>
      <c r="D6">
        <v>6</v>
      </c>
      <c r="E6">
        <v>32</v>
      </c>
      <c r="F6">
        <v>1185600</v>
      </c>
      <c r="G6">
        <v>4680</v>
      </c>
      <c r="I6">
        <f>SUM(Table1[[#All],[cancelled_flights]])</f>
        <v>195</v>
      </c>
    </row>
    <row r="7" spans="1:9" x14ac:dyDescent="0.35">
      <c r="A7" t="s">
        <v>16</v>
      </c>
      <c r="B7" t="s">
        <v>17</v>
      </c>
      <c r="C7">
        <v>1650000</v>
      </c>
      <c r="D7">
        <v>5</v>
      </c>
      <c r="E7">
        <v>28</v>
      </c>
      <c r="F7">
        <v>988000</v>
      </c>
      <c r="G7">
        <v>3950</v>
      </c>
    </row>
    <row r="8" spans="1:9" x14ac:dyDescent="0.35">
      <c r="A8" t="s">
        <v>18</v>
      </c>
      <c r="B8" t="s">
        <v>19</v>
      </c>
      <c r="C8">
        <v>1420000</v>
      </c>
      <c r="D8">
        <v>4</v>
      </c>
      <c r="E8">
        <v>25</v>
      </c>
      <c r="F8">
        <v>856000</v>
      </c>
      <c r="G8">
        <v>3400</v>
      </c>
      <c r="I8" s="5" t="s">
        <v>81</v>
      </c>
    </row>
    <row r="9" spans="1:9" x14ac:dyDescent="0.35">
      <c r="A9" t="s">
        <v>20</v>
      </c>
      <c r="B9" t="s">
        <v>21</v>
      </c>
      <c r="C9">
        <v>1180000</v>
      </c>
      <c r="D9">
        <v>3</v>
      </c>
      <c r="E9">
        <v>21</v>
      </c>
      <c r="F9">
        <v>702800</v>
      </c>
      <c r="G9">
        <v>2800</v>
      </c>
      <c r="I9">
        <f>SUM(Table1[[#All],[passengers_impacted]])</f>
        <v>119570</v>
      </c>
    </row>
    <row r="10" spans="1:9" x14ac:dyDescent="0.35">
      <c r="A10" t="s">
        <v>22</v>
      </c>
      <c r="B10" t="s">
        <v>23</v>
      </c>
      <c r="C10">
        <v>2100000</v>
      </c>
      <c r="D10">
        <v>7</v>
      </c>
      <c r="E10">
        <v>35</v>
      </c>
      <c r="F10">
        <v>1274000</v>
      </c>
      <c r="G10">
        <v>5110</v>
      </c>
    </row>
    <row r="11" spans="1:9" x14ac:dyDescent="0.35">
      <c r="A11" t="s">
        <v>24</v>
      </c>
      <c r="B11" t="s">
        <v>25</v>
      </c>
      <c r="C11">
        <v>1870000</v>
      </c>
      <c r="D11">
        <v>6</v>
      </c>
      <c r="E11">
        <v>31</v>
      </c>
      <c r="F11">
        <v>1120600</v>
      </c>
      <c r="G11">
        <v>4560</v>
      </c>
      <c r="I11" s="5" t="s">
        <v>82</v>
      </c>
    </row>
    <row r="12" spans="1:9" x14ac:dyDescent="0.35">
      <c r="A12" t="s">
        <v>26</v>
      </c>
      <c r="B12" t="s">
        <v>27</v>
      </c>
      <c r="C12">
        <v>1340000</v>
      </c>
      <c r="D12">
        <v>4</v>
      </c>
      <c r="E12">
        <v>23</v>
      </c>
      <c r="F12">
        <v>806200</v>
      </c>
      <c r="G12">
        <v>3220</v>
      </c>
      <c r="I12">
        <f>SUM(Table1[[#All],[additional_fuel_cost_usd]])</f>
        <v>27606000</v>
      </c>
    </row>
    <row r="13" spans="1:9" x14ac:dyDescent="0.35">
      <c r="A13" t="s">
        <v>28</v>
      </c>
      <c r="B13" t="s">
        <v>29</v>
      </c>
      <c r="C13">
        <v>1560000</v>
      </c>
      <c r="D13">
        <v>5</v>
      </c>
      <c r="E13">
        <v>26</v>
      </c>
      <c r="F13">
        <v>916800</v>
      </c>
      <c r="G13">
        <v>3760</v>
      </c>
    </row>
    <row r="14" spans="1:9" x14ac:dyDescent="0.35">
      <c r="A14" t="s">
        <v>30</v>
      </c>
      <c r="B14" t="s">
        <v>31</v>
      </c>
      <c r="C14">
        <v>820000</v>
      </c>
      <c r="D14">
        <v>6</v>
      </c>
      <c r="E14">
        <v>15</v>
      </c>
      <c r="F14">
        <v>520400</v>
      </c>
      <c r="G14">
        <v>2460</v>
      </c>
      <c r="I14" s="5" t="s">
        <v>83</v>
      </c>
    </row>
    <row r="15" spans="1:9" x14ac:dyDescent="0.35">
      <c r="A15" t="s">
        <v>32</v>
      </c>
      <c r="B15" t="s">
        <v>33</v>
      </c>
      <c r="C15">
        <v>1240000</v>
      </c>
      <c r="D15">
        <v>9</v>
      </c>
      <c r="E15">
        <v>18</v>
      </c>
      <c r="F15">
        <v>648000</v>
      </c>
      <c r="G15">
        <v>4320</v>
      </c>
      <c r="I15">
        <f>SUM(Table1[[#All],[rerouted_flights]])</f>
        <v>754</v>
      </c>
    </row>
    <row r="16" spans="1:9" x14ac:dyDescent="0.35">
      <c r="A16" t="s">
        <v>34</v>
      </c>
      <c r="B16" t="s">
        <v>35</v>
      </c>
      <c r="C16">
        <v>680000</v>
      </c>
      <c r="D16">
        <v>5</v>
      </c>
      <c r="E16">
        <v>12</v>
      </c>
      <c r="F16">
        <v>424000</v>
      </c>
      <c r="G16">
        <v>2240</v>
      </c>
    </row>
    <row r="17" spans="1:7" x14ac:dyDescent="0.35">
      <c r="A17" t="s">
        <v>36</v>
      </c>
      <c r="B17" t="s">
        <v>37</v>
      </c>
      <c r="C17">
        <v>590000</v>
      </c>
      <c r="D17">
        <v>4</v>
      </c>
      <c r="E17">
        <v>11</v>
      </c>
      <c r="F17">
        <v>374000</v>
      </c>
      <c r="G17">
        <v>1960</v>
      </c>
    </row>
    <row r="18" spans="1:7" x14ac:dyDescent="0.35">
      <c r="A18" t="s">
        <v>38</v>
      </c>
      <c r="B18" t="s">
        <v>8</v>
      </c>
      <c r="C18">
        <v>680000</v>
      </c>
      <c r="D18">
        <v>7</v>
      </c>
      <c r="E18">
        <v>13</v>
      </c>
      <c r="F18">
        <v>470000</v>
      </c>
      <c r="G18">
        <v>2800</v>
      </c>
    </row>
    <row r="19" spans="1:7" x14ac:dyDescent="0.35">
      <c r="A19" t="s">
        <v>39</v>
      </c>
      <c r="B19" t="s">
        <v>40</v>
      </c>
      <c r="C19">
        <v>1650000</v>
      </c>
      <c r="D19">
        <v>5</v>
      </c>
      <c r="E19">
        <v>26</v>
      </c>
      <c r="F19">
        <v>925800</v>
      </c>
      <c r="G19">
        <v>3750</v>
      </c>
    </row>
    <row r="20" spans="1:7" x14ac:dyDescent="0.35">
      <c r="A20" t="s">
        <v>41</v>
      </c>
      <c r="B20" t="s">
        <v>40</v>
      </c>
      <c r="C20">
        <v>1120000</v>
      </c>
      <c r="D20">
        <v>4</v>
      </c>
      <c r="E20">
        <v>19</v>
      </c>
      <c r="F20">
        <v>652000</v>
      </c>
      <c r="G20">
        <v>2680</v>
      </c>
    </row>
    <row r="21" spans="1:7" x14ac:dyDescent="0.35">
      <c r="A21" t="s">
        <v>42</v>
      </c>
      <c r="B21" t="s">
        <v>43</v>
      </c>
      <c r="C21">
        <v>1480000</v>
      </c>
      <c r="D21">
        <v>5</v>
      </c>
      <c r="E21">
        <v>24</v>
      </c>
      <c r="F21">
        <v>840000</v>
      </c>
      <c r="G21">
        <v>3360</v>
      </c>
    </row>
    <row r="22" spans="1:7" x14ac:dyDescent="0.35">
      <c r="A22" t="s">
        <v>44</v>
      </c>
      <c r="B22" t="s">
        <v>43</v>
      </c>
      <c r="C22">
        <v>1350000</v>
      </c>
      <c r="D22">
        <v>4</v>
      </c>
      <c r="E22">
        <v>22</v>
      </c>
      <c r="F22">
        <v>768000</v>
      </c>
      <c r="G22">
        <v>3080</v>
      </c>
    </row>
    <row r="23" spans="1:7" x14ac:dyDescent="0.35">
      <c r="A23" t="s">
        <v>45</v>
      </c>
      <c r="B23" t="s">
        <v>46</v>
      </c>
      <c r="C23">
        <v>1020000</v>
      </c>
      <c r="D23">
        <v>3</v>
      </c>
      <c r="E23">
        <v>18</v>
      </c>
      <c r="F23">
        <v>624000</v>
      </c>
      <c r="G23">
        <v>2700</v>
      </c>
    </row>
    <row r="24" spans="1:7" x14ac:dyDescent="0.35">
      <c r="A24" t="s">
        <v>47</v>
      </c>
      <c r="B24" t="s">
        <v>48</v>
      </c>
      <c r="C24">
        <v>1180000</v>
      </c>
      <c r="D24">
        <v>6</v>
      </c>
      <c r="E24">
        <v>22</v>
      </c>
      <c r="F24">
        <v>780000</v>
      </c>
      <c r="G24">
        <v>4040</v>
      </c>
    </row>
    <row r="25" spans="1:7" x14ac:dyDescent="0.35">
      <c r="A25" t="s">
        <v>49</v>
      </c>
      <c r="B25" t="s">
        <v>50</v>
      </c>
      <c r="C25">
        <v>2800000</v>
      </c>
      <c r="D25">
        <v>12</v>
      </c>
      <c r="E25">
        <v>0</v>
      </c>
      <c r="F25">
        <v>0</v>
      </c>
      <c r="G25">
        <v>3980</v>
      </c>
    </row>
    <row r="26" spans="1:7" x14ac:dyDescent="0.35">
      <c r="A26" t="s">
        <v>51</v>
      </c>
      <c r="B26" t="s">
        <v>52</v>
      </c>
      <c r="C26">
        <v>420000</v>
      </c>
      <c r="D26">
        <v>3</v>
      </c>
      <c r="E26">
        <v>8</v>
      </c>
      <c r="F26">
        <v>272000</v>
      </c>
      <c r="G26">
        <v>1140</v>
      </c>
    </row>
    <row r="27" spans="1:7" x14ac:dyDescent="0.35">
      <c r="A27" t="s">
        <v>53</v>
      </c>
      <c r="B27" t="s">
        <v>54</v>
      </c>
      <c r="C27">
        <v>380000</v>
      </c>
      <c r="D27">
        <v>2</v>
      </c>
      <c r="E27">
        <v>7</v>
      </c>
      <c r="F27">
        <v>234000</v>
      </c>
      <c r="G27">
        <v>1020</v>
      </c>
    </row>
    <row r="28" spans="1:7" x14ac:dyDescent="0.35">
      <c r="A28" t="s">
        <v>55</v>
      </c>
      <c r="B28" t="s">
        <v>56</v>
      </c>
      <c r="C28">
        <v>940000</v>
      </c>
      <c r="D28">
        <v>3</v>
      </c>
      <c r="E28">
        <v>16</v>
      </c>
      <c r="F28">
        <v>558000</v>
      </c>
      <c r="G28">
        <v>2280</v>
      </c>
    </row>
    <row r="29" spans="1:7" x14ac:dyDescent="0.35">
      <c r="A29" t="s">
        <v>57</v>
      </c>
      <c r="B29" t="s">
        <v>58</v>
      </c>
      <c r="C29">
        <v>620000</v>
      </c>
      <c r="D29">
        <v>2</v>
      </c>
      <c r="E29">
        <v>11</v>
      </c>
      <c r="F29">
        <v>376000</v>
      </c>
      <c r="G29">
        <v>1540</v>
      </c>
    </row>
    <row r="30" spans="1:7" x14ac:dyDescent="0.35">
      <c r="A30" t="s">
        <v>59</v>
      </c>
      <c r="B30" t="s">
        <v>60</v>
      </c>
      <c r="C30">
        <v>710000</v>
      </c>
      <c r="D30">
        <v>2</v>
      </c>
      <c r="E30">
        <v>12</v>
      </c>
      <c r="F30">
        <v>412000</v>
      </c>
      <c r="G30">
        <v>1680</v>
      </c>
    </row>
    <row r="31" spans="1:7" x14ac:dyDescent="0.35">
      <c r="A31" t="s">
        <v>61</v>
      </c>
      <c r="B31" t="s">
        <v>62</v>
      </c>
      <c r="C31">
        <v>680000</v>
      </c>
      <c r="D31">
        <v>2</v>
      </c>
      <c r="E31">
        <v>11</v>
      </c>
      <c r="F31">
        <v>376800</v>
      </c>
      <c r="G31">
        <v>1540</v>
      </c>
    </row>
    <row r="32" spans="1:7" x14ac:dyDescent="0.35">
      <c r="A32" t="s">
        <v>63</v>
      </c>
      <c r="B32" t="s">
        <v>64</v>
      </c>
      <c r="C32">
        <v>540000</v>
      </c>
      <c r="D32">
        <v>2</v>
      </c>
      <c r="E32">
        <v>9</v>
      </c>
      <c r="F32">
        <v>312000</v>
      </c>
      <c r="G32">
        <v>1260</v>
      </c>
    </row>
    <row r="33" spans="1:7" x14ac:dyDescent="0.35">
      <c r="A33" t="s">
        <v>65</v>
      </c>
      <c r="B33" t="s">
        <v>66</v>
      </c>
      <c r="C33">
        <v>480000</v>
      </c>
      <c r="D33">
        <v>2</v>
      </c>
      <c r="E33">
        <v>8</v>
      </c>
      <c r="F33">
        <v>276000</v>
      </c>
      <c r="G33">
        <v>1120</v>
      </c>
    </row>
    <row r="34" spans="1:7" x14ac:dyDescent="0.35">
      <c r="A34" t="s">
        <v>67</v>
      </c>
      <c r="B34" t="s">
        <v>68</v>
      </c>
      <c r="C34">
        <v>1620000</v>
      </c>
      <c r="D34">
        <v>5</v>
      </c>
      <c r="E34">
        <v>27</v>
      </c>
      <c r="F34">
        <v>952000</v>
      </c>
      <c r="G34">
        <v>3780</v>
      </c>
    </row>
    <row r="35" spans="1:7" x14ac:dyDescent="0.35">
      <c r="A35" t="s">
        <v>69</v>
      </c>
      <c r="B35" t="s">
        <v>68</v>
      </c>
      <c r="C35">
        <v>1590000</v>
      </c>
      <c r="D35">
        <v>5</v>
      </c>
      <c r="E35">
        <v>26</v>
      </c>
      <c r="F35">
        <v>924000</v>
      </c>
      <c r="G35">
        <v>3700</v>
      </c>
    </row>
    <row r="36" spans="1:7" x14ac:dyDescent="0.35">
      <c r="A36" t="s">
        <v>70</v>
      </c>
      <c r="B36" t="s">
        <v>68</v>
      </c>
      <c r="C36">
        <v>1680000</v>
      </c>
      <c r="D36">
        <v>5</v>
      </c>
      <c r="E36">
        <v>28</v>
      </c>
      <c r="F36">
        <v>980000</v>
      </c>
      <c r="G36">
        <v>3920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DDBF-3AD1-4D76-9475-6307A28E2815}">
  <sheetPr>
    <tabColor rgb="FFFF0000"/>
  </sheetPr>
  <dimension ref="A1:B7"/>
  <sheetViews>
    <sheetView workbookViewId="0">
      <selection activeCell="M8" sqref="M8"/>
    </sheetView>
  </sheetViews>
  <sheetFormatPr defaultRowHeight="14.5" x14ac:dyDescent="0.35"/>
  <cols>
    <col min="1" max="1" width="15.26953125" bestFit="1" customWidth="1"/>
    <col min="2" max="2" width="28.81640625" bestFit="1" customWidth="1"/>
  </cols>
  <sheetData>
    <row r="1" spans="1:2" x14ac:dyDescent="0.35">
      <c r="A1" s="1" t="s">
        <v>71</v>
      </c>
      <c r="B1" t="s">
        <v>73</v>
      </c>
    </row>
    <row r="2" spans="1:2" x14ac:dyDescent="0.35">
      <c r="A2" s="2" t="s">
        <v>7</v>
      </c>
      <c r="B2" s="7">
        <v>4200000</v>
      </c>
    </row>
    <row r="3" spans="1:2" x14ac:dyDescent="0.35">
      <c r="A3" s="2" t="s">
        <v>9</v>
      </c>
      <c r="B3" s="7">
        <v>3100000</v>
      </c>
    </row>
    <row r="4" spans="1:2" x14ac:dyDescent="0.35">
      <c r="A4" s="2" t="s">
        <v>49</v>
      </c>
      <c r="B4" s="7">
        <v>2800000</v>
      </c>
    </row>
    <row r="5" spans="1:2" x14ac:dyDescent="0.35">
      <c r="A5" s="2" t="s">
        <v>12</v>
      </c>
      <c r="B5" s="7">
        <v>2400000</v>
      </c>
    </row>
    <row r="6" spans="1:2" x14ac:dyDescent="0.35">
      <c r="A6" s="2" t="s">
        <v>22</v>
      </c>
      <c r="B6" s="7">
        <v>2100000</v>
      </c>
    </row>
    <row r="7" spans="1:2" x14ac:dyDescent="0.35">
      <c r="A7" s="2" t="s">
        <v>72</v>
      </c>
      <c r="B7" s="7">
        <v>14600000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27554-C7DD-4DF9-B8EA-9F3F735DD1A7}">
  <sheetPr>
    <tabColor rgb="FFFFC000"/>
  </sheetPr>
  <dimension ref="A1:B14"/>
  <sheetViews>
    <sheetView workbookViewId="0">
      <selection activeCell="A2" sqref="A2:A13"/>
      <pivotSelection pane="bottomRight" showHeader="1" activeRow="1" click="1" r:id="rId1">
        <pivotArea dataOnly="0" labelOnly="1" fieldPosition="0">
          <references count="1">
            <reference field="0" count="0"/>
          </references>
        </pivotArea>
      </pivotSelection>
    </sheetView>
  </sheetViews>
  <sheetFormatPr defaultRowHeight="14.5" x14ac:dyDescent="0.35"/>
  <cols>
    <col min="1" max="1" width="15.26953125" bestFit="1" customWidth="1"/>
    <col min="2" max="2" width="21.6328125" bestFit="1" customWidth="1"/>
  </cols>
  <sheetData>
    <row r="1" spans="1:2" x14ac:dyDescent="0.35">
      <c r="A1" s="1" t="s">
        <v>71</v>
      </c>
      <c r="B1" t="s">
        <v>74</v>
      </c>
    </row>
    <row r="2" spans="1:2" x14ac:dyDescent="0.35">
      <c r="A2" s="2" t="s">
        <v>24</v>
      </c>
      <c r="B2" s="7">
        <v>6</v>
      </c>
    </row>
    <row r="3" spans="1:2" x14ac:dyDescent="0.35">
      <c r="A3" s="2" t="s">
        <v>47</v>
      </c>
      <c r="B3" s="7">
        <v>6</v>
      </c>
    </row>
    <row r="4" spans="1:2" x14ac:dyDescent="0.35">
      <c r="A4" s="2" t="s">
        <v>14</v>
      </c>
      <c r="B4" s="7">
        <v>6</v>
      </c>
    </row>
    <row r="5" spans="1:2" x14ac:dyDescent="0.35">
      <c r="A5" s="2" t="s">
        <v>30</v>
      </c>
      <c r="B5" s="7">
        <v>6</v>
      </c>
    </row>
    <row r="6" spans="1:2" x14ac:dyDescent="0.35">
      <c r="A6" s="2" t="s">
        <v>38</v>
      </c>
      <c r="B6" s="7">
        <v>7</v>
      </c>
    </row>
    <row r="7" spans="1:2" x14ac:dyDescent="0.35">
      <c r="A7" s="2" t="s">
        <v>22</v>
      </c>
      <c r="B7" s="7">
        <v>7</v>
      </c>
    </row>
    <row r="8" spans="1:2" x14ac:dyDescent="0.35">
      <c r="A8" s="2" t="s">
        <v>11</v>
      </c>
      <c r="B8" s="7">
        <v>8</v>
      </c>
    </row>
    <row r="9" spans="1:2" x14ac:dyDescent="0.35">
      <c r="A9" s="2" t="s">
        <v>32</v>
      </c>
      <c r="B9" s="7">
        <v>9</v>
      </c>
    </row>
    <row r="10" spans="1:2" x14ac:dyDescent="0.35">
      <c r="A10" s="2" t="s">
        <v>49</v>
      </c>
      <c r="B10" s="7">
        <v>12</v>
      </c>
    </row>
    <row r="11" spans="1:2" x14ac:dyDescent="0.35">
      <c r="A11" s="2" t="s">
        <v>9</v>
      </c>
      <c r="B11" s="7">
        <v>12</v>
      </c>
    </row>
    <row r="12" spans="1:2" x14ac:dyDescent="0.35">
      <c r="A12" s="2" t="s">
        <v>12</v>
      </c>
      <c r="B12" s="7">
        <v>14</v>
      </c>
    </row>
    <row r="13" spans="1:2" x14ac:dyDescent="0.35">
      <c r="A13" s="2" t="s">
        <v>7</v>
      </c>
      <c r="B13" s="7">
        <v>18</v>
      </c>
    </row>
    <row r="14" spans="1:2" x14ac:dyDescent="0.35">
      <c r="A14" s="2" t="s">
        <v>72</v>
      </c>
      <c r="B14" s="7">
        <v>111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B7D3-10A8-4893-A2E3-BDB417E0F572}">
  <sheetPr>
    <tabColor theme="1" tint="4.9989318521683403E-2"/>
  </sheetPr>
  <dimension ref="A1:B7"/>
  <sheetViews>
    <sheetView workbookViewId="0">
      <selection activeCell="B4" sqref="B4"/>
    </sheetView>
  </sheetViews>
  <sheetFormatPr defaultRowHeight="14.5" x14ac:dyDescent="0.35"/>
  <cols>
    <col min="1" max="1" width="15.26953125" bestFit="1" customWidth="1"/>
    <col min="2" max="2" width="25.6328125" bestFit="1" customWidth="1"/>
  </cols>
  <sheetData>
    <row r="1" spans="1:2" x14ac:dyDescent="0.35">
      <c r="A1" s="1" t="s">
        <v>71</v>
      </c>
      <c r="B1" t="s">
        <v>75</v>
      </c>
    </row>
    <row r="2" spans="1:2" x14ac:dyDescent="0.35">
      <c r="A2" s="2" t="s">
        <v>14</v>
      </c>
      <c r="B2" s="7">
        <v>4680</v>
      </c>
    </row>
    <row r="3" spans="1:2" x14ac:dyDescent="0.35">
      <c r="A3" s="2" t="s">
        <v>7</v>
      </c>
      <c r="B3" s="7">
        <v>9180</v>
      </c>
    </row>
    <row r="4" spans="1:2" x14ac:dyDescent="0.35">
      <c r="A4" s="2" t="s">
        <v>9</v>
      </c>
      <c r="B4" s="7">
        <v>6540</v>
      </c>
    </row>
    <row r="5" spans="1:2" x14ac:dyDescent="0.35">
      <c r="A5" s="2" t="s">
        <v>22</v>
      </c>
      <c r="B5" s="7">
        <v>5110</v>
      </c>
    </row>
    <row r="6" spans="1:2" x14ac:dyDescent="0.35">
      <c r="A6" s="2" t="s">
        <v>12</v>
      </c>
      <c r="B6" s="7">
        <v>7700</v>
      </c>
    </row>
    <row r="7" spans="1:2" x14ac:dyDescent="0.35">
      <c r="A7" s="2" t="s">
        <v>72</v>
      </c>
      <c r="B7" s="7">
        <v>33210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8C774-846C-41C1-9A9E-2425E6DD2FA3}">
  <sheetPr>
    <tabColor theme="6" tint="-0.249977111117893"/>
  </sheetPr>
  <dimension ref="A1:B7"/>
  <sheetViews>
    <sheetView workbookViewId="0">
      <selection activeCell="M9" sqref="M9"/>
    </sheetView>
  </sheetViews>
  <sheetFormatPr defaultRowHeight="14.5" x14ac:dyDescent="0.35"/>
  <cols>
    <col min="1" max="1" width="12.453125" bestFit="1" customWidth="1"/>
    <col min="2" max="2" width="25.6328125" bestFit="1" customWidth="1"/>
  </cols>
  <sheetData>
    <row r="1" spans="1:2" x14ac:dyDescent="0.35">
      <c r="A1" s="1" t="s">
        <v>71</v>
      </c>
      <c r="B1" t="s">
        <v>75</v>
      </c>
    </row>
    <row r="2" spans="1:2" x14ac:dyDescent="0.35">
      <c r="A2" s="2" t="s">
        <v>68</v>
      </c>
      <c r="B2" s="7">
        <v>11400</v>
      </c>
    </row>
    <row r="3" spans="1:2" x14ac:dyDescent="0.35">
      <c r="A3" s="2" t="s">
        <v>43</v>
      </c>
      <c r="B3" s="7">
        <v>6440</v>
      </c>
    </row>
    <row r="4" spans="1:2" x14ac:dyDescent="0.35">
      <c r="A4" s="2" t="s">
        <v>10</v>
      </c>
      <c r="B4" s="7">
        <v>6540</v>
      </c>
    </row>
    <row r="5" spans="1:2" x14ac:dyDescent="0.35">
      <c r="A5" s="2" t="s">
        <v>13</v>
      </c>
      <c r="B5" s="7">
        <v>7700</v>
      </c>
    </row>
    <row r="6" spans="1:2" x14ac:dyDescent="0.35">
      <c r="A6" s="2" t="s">
        <v>8</v>
      </c>
      <c r="B6" s="7">
        <v>16300</v>
      </c>
    </row>
    <row r="7" spans="1:2" x14ac:dyDescent="0.35">
      <c r="A7" s="2" t="s">
        <v>72</v>
      </c>
      <c r="B7" s="7">
        <v>48380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12B8-CA52-4E6E-8E1C-7D4E4E2F0DA0}">
  <sheetPr>
    <tabColor theme="8" tint="0.39997558519241921"/>
  </sheetPr>
  <dimension ref="A3:C14"/>
  <sheetViews>
    <sheetView workbookViewId="0">
      <selection activeCell="M19" sqref="L19:M19"/>
    </sheetView>
  </sheetViews>
  <sheetFormatPr defaultRowHeight="14.5" x14ac:dyDescent="0.35"/>
  <cols>
    <col min="1" max="1" width="15.26953125" bestFit="1" customWidth="1"/>
    <col min="2" max="2" width="28.26953125" bestFit="1" customWidth="1"/>
    <col min="3" max="3" width="20.36328125" bestFit="1" customWidth="1"/>
  </cols>
  <sheetData>
    <row r="3" spans="1:3" x14ac:dyDescent="0.35">
      <c r="A3" s="1" t="s">
        <v>71</v>
      </c>
      <c r="B3" t="s">
        <v>76</v>
      </c>
      <c r="C3" t="s">
        <v>77</v>
      </c>
    </row>
    <row r="4" spans="1:3" x14ac:dyDescent="0.35">
      <c r="A4" s="2" t="s">
        <v>7</v>
      </c>
      <c r="B4" s="7">
        <v>2835200</v>
      </c>
      <c r="C4" s="7">
        <v>62</v>
      </c>
    </row>
    <row r="5" spans="1:3" x14ac:dyDescent="0.35">
      <c r="A5" s="2" t="s">
        <v>9</v>
      </c>
      <c r="B5" s="7">
        <v>1765800</v>
      </c>
      <c r="C5" s="7">
        <v>41</v>
      </c>
    </row>
    <row r="6" spans="1:3" x14ac:dyDescent="0.35">
      <c r="A6" s="2" t="s">
        <v>12</v>
      </c>
      <c r="B6" s="7">
        <v>1432600</v>
      </c>
      <c r="C6" s="7">
        <v>38</v>
      </c>
    </row>
    <row r="7" spans="1:3" x14ac:dyDescent="0.35">
      <c r="A7" s="2" t="s">
        <v>22</v>
      </c>
      <c r="B7" s="7">
        <v>1274000</v>
      </c>
      <c r="C7" s="7">
        <v>35</v>
      </c>
    </row>
    <row r="8" spans="1:3" x14ac:dyDescent="0.35">
      <c r="A8" s="2" t="s">
        <v>14</v>
      </c>
      <c r="B8" s="7">
        <v>1185600</v>
      </c>
      <c r="C8" s="7">
        <v>32</v>
      </c>
    </row>
    <row r="9" spans="1:3" x14ac:dyDescent="0.35">
      <c r="A9" s="2" t="s">
        <v>24</v>
      </c>
      <c r="B9" s="7">
        <v>1120600</v>
      </c>
      <c r="C9" s="7">
        <v>31</v>
      </c>
    </row>
    <row r="10" spans="1:3" x14ac:dyDescent="0.35">
      <c r="A10" s="2" t="s">
        <v>11</v>
      </c>
      <c r="B10" s="7">
        <v>1023400</v>
      </c>
      <c r="C10" s="7">
        <v>29</v>
      </c>
    </row>
    <row r="11" spans="1:3" x14ac:dyDescent="0.35">
      <c r="A11" s="2" t="s">
        <v>70</v>
      </c>
      <c r="B11" s="7">
        <v>980000</v>
      </c>
      <c r="C11" s="7">
        <v>28</v>
      </c>
    </row>
    <row r="12" spans="1:3" x14ac:dyDescent="0.35">
      <c r="A12" s="2" t="s">
        <v>16</v>
      </c>
      <c r="B12" s="7">
        <v>988000</v>
      </c>
      <c r="C12" s="7">
        <v>28</v>
      </c>
    </row>
    <row r="13" spans="1:3" x14ac:dyDescent="0.35">
      <c r="A13" s="2" t="s">
        <v>67</v>
      </c>
      <c r="B13" s="7">
        <v>952000</v>
      </c>
      <c r="C13" s="7">
        <v>27</v>
      </c>
    </row>
    <row r="14" spans="1:3" x14ac:dyDescent="0.35">
      <c r="A14" s="2" t="s">
        <v>72</v>
      </c>
      <c r="B14" s="7">
        <v>13557200</v>
      </c>
      <c r="C14" s="7">
        <v>351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9BF4-A950-417D-8DFA-078C426E4408}">
  <sheetPr>
    <tabColor rgb="FFFFFF00"/>
    <pageSetUpPr autoPageBreaks="0"/>
  </sheetPr>
  <dimension ref="A1:U2"/>
  <sheetViews>
    <sheetView showGridLines="0" tabSelected="1" zoomScaleNormal="100" workbookViewId="0">
      <selection activeCell="R4" sqref="R4"/>
    </sheetView>
  </sheetViews>
  <sheetFormatPr defaultRowHeight="14.5" x14ac:dyDescent="0.35"/>
  <cols>
    <col min="1" max="16384" width="8.7265625" style="3"/>
  </cols>
  <sheetData>
    <row r="1" spans="1:21" ht="8.5" customHeight="1" x14ac:dyDescent="0.35">
      <c r="A1" s="6" t="s">
        <v>78</v>
      </c>
      <c r="B1" s="6"/>
      <c r="C1" s="6"/>
      <c r="D1" s="6"/>
      <c r="E1" s="6"/>
      <c r="F1" s="6"/>
      <c r="G1" s="6"/>
      <c r="H1" s="6"/>
      <c r="I1" s="6"/>
      <c r="J1" s="6"/>
      <c r="K1" s="6"/>
      <c r="L1" s="6"/>
      <c r="M1" s="6"/>
      <c r="N1" s="6"/>
      <c r="O1" s="6"/>
      <c r="P1" s="6"/>
      <c r="Q1" s="6"/>
      <c r="R1" s="6"/>
      <c r="S1" s="6"/>
      <c r="T1" s="4"/>
      <c r="U1" s="4"/>
    </row>
    <row r="2" spans="1:21" x14ac:dyDescent="0.35">
      <c r="A2" s="6"/>
      <c r="B2" s="6"/>
      <c r="C2" s="6"/>
      <c r="D2" s="6"/>
      <c r="E2" s="6"/>
      <c r="F2" s="6"/>
      <c r="G2" s="6"/>
      <c r="H2" s="6"/>
      <c r="I2" s="6"/>
      <c r="J2" s="6"/>
      <c r="K2" s="6"/>
      <c r="L2" s="6"/>
      <c r="M2" s="6"/>
      <c r="N2" s="6"/>
      <c r="O2" s="6"/>
      <c r="P2" s="6"/>
      <c r="Q2" s="6"/>
      <c r="R2" s="6"/>
      <c r="S2" s="6"/>
      <c r="T2" s="4"/>
      <c r="U2" s="4"/>
    </row>
  </sheetData>
  <mergeCells count="1">
    <mergeCell ref="A1: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Daily_Loss</vt:lpstr>
      <vt:lpstr>Cancelled Flights</vt:lpstr>
      <vt:lpstr>Passengers impacted</vt:lpstr>
      <vt:lpstr>Countries by impact</vt:lpstr>
      <vt:lpstr>Fuel vs Rerouted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1028tu</dc:creator>
  <cp:lastModifiedBy>Anshima Yadav</cp:lastModifiedBy>
  <dcterms:created xsi:type="dcterms:W3CDTF">2026-03-09T08:57:59Z</dcterms:created>
  <dcterms:modified xsi:type="dcterms:W3CDTF">2026-03-11T09:07:49Z</dcterms:modified>
</cp:coreProperties>
</file>